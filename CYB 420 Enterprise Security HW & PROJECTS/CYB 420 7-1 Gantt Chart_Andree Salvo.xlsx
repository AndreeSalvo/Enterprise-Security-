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xr:revisionPtr revIDLastSave="0" documentId="13_ncr:1_{AEEB06D2-38A6-4325-BF0B-0E9FBE7F2E1D}" xr6:coauthVersionLast="47" xr6:coauthVersionMax="47" xr10:uidLastSave="{00000000-0000-0000-0000-000000000000}"/>
  <bookViews>
    <workbookView xWindow="4545" yWindow="2415" windowWidth="13770" windowHeight="10725" xr2:uid="{00000000-000D-0000-FFFF-FFFF00000000}"/>
  </bookViews>
  <sheets>
    <sheet name="Project Schedule" sheetId="11" r:id="rId1"/>
    <sheet name="Resource Allocation" sheetId="12" r:id="rId2"/>
  </sheets>
  <definedNames>
    <definedName name="Display_Week">'Project Schedule'!$D$4</definedName>
    <definedName name="_xlnm.Print_Titles" localSheetId="0">'Project Schedule'!$4:$6</definedName>
    <definedName name="Project_Start">'Project Schedule'!$D$3</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D3" i="11" l="1"/>
  <c r="G22" i="11" l="1"/>
  <c r="H5" i="11"/>
  <c r="G21" i="11"/>
  <c r="G14" i="11"/>
  <c r="G8" i="11"/>
  <c r="H6" i="11" l="1"/>
  <c r="G9" i="11" l="1"/>
  <c r="G26" i="11"/>
  <c r="I5" i="11"/>
  <c r="J5" i="11" s="1"/>
  <c r="K5" i="11" s="1"/>
  <c r="L5" i="11" s="1"/>
  <c r="M5" i="11" s="1"/>
  <c r="N5" i="11" s="1"/>
  <c r="O5" i="11" s="1"/>
  <c r="H4" i="11"/>
  <c r="G10" i="11" l="1"/>
  <c r="O4" i="11"/>
  <c r="P5" i="11"/>
  <c r="Q5" i="11" s="1"/>
  <c r="R5" i="11" s="1"/>
  <c r="S5" i="11" s="1"/>
  <c r="T5" i="11" s="1"/>
  <c r="U5" i="11" s="1"/>
  <c r="V5" i="11" s="1"/>
  <c r="I6" i="11"/>
  <c r="G15" i="11" l="1"/>
  <c r="V4" i="11"/>
  <c r="W5" i="11"/>
  <c r="X5" i="11" s="1"/>
  <c r="Y5" i="11" s="1"/>
  <c r="Z5" i="11" s="1"/>
  <c r="AA5" i="11" s="1"/>
  <c r="AB5" i="11" s="1"/>
  <c r="AC5" i="11" s="1"/>
  <c r="J6" i="11"/>
  <c r="G19" i="11" l="1"/>
  <c r="AD5" i="1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<sst xmlns="http://schemas.openxmlformats.org/spreadsheetml/2006/main" count="107" uniqueCount="77">
  <si>
    <t>PROGRESS</t>
  </si>
  <si>
    <t>START</t>
  </si>
  <si>
    <t>END</t>
  </si>
  <si>
    <t>DAYS</t>
  </si>
  <si>
    <t>TASK</t>
  </si>
  <si>
    <t>Enter Company Name in cell B2.</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</si>
  <si>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</si>
  <si>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</si>
  <si>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</si>
  <si>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</si>
  <si>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</si>
  <si>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</si>
  <si>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</si>
  <si>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</si>
  <si>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</si>
  <si>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Resource</t>
  </si>
  <si>
    <t>Task</t>
  </si>
  <si>
    <t>Rationale</t>
  </si>
  <si>
    <t>Complete this template by replacing the bracketed text with the relevant information in each row. Also, in the relevant columns, be sure to enter start and end dates and experiment with entering progress percentages to create the Gantt chart bars.</t>
  </si>
  <si>
    <t>Project Two</t>
  </si>
  <si>
    <t>Complete this template by entering the relevant information in each row.</t>
  </si>
  <si>
    <t>Adapted from a template by TeamGantt (2019), https://www.teamgantt.com/</t>
  </si>
  <si>
    <t>Planning Phase</t>
  </si>
  <si>
    <t>Prepartion Execution Phase</t>
  </si>
  <si>
    <t>Execution Phase</t>
  </si>
  <si>
    <t xml:space="preserve">Finalization Phase </t>
  </si>
  <si>
    <t>Project Start Milestone</t>
  </si>
  <si>
    <t xml:space="preserve">Create the official Authentication Policy </t>
  </si>
  <si>
    <t>Determine security levels for each category</t>
  </si>
  <si>
    <t>Identify and classify sensitive data</t>
  </si>
  <si>
    <t>Initiant and develop response procedures for cyber threats</t>
  </si>
  <si>
    <t>Present official NIST Cybersecurity Framework (CSF)</t>
  </si>
  <si>
    <t>Hire and instruct contractors on office security upgrades</t>
  </si>
  <si>
    <t>Acquire the type of 2FA and make a plan to deploy it</t>
  </si>
  <si>
    <t>Update and finalize security documentation</t>
  </si>
  <si>
    <t xml:space="preserve">Forward the official Authentication Policy </t>
  </si>
  <si>
    <t>Enforce new password and authentication policies</t>
  </si>
  <si>
    <t>Deploy and verify two-factor authentication (2FA)</t>
  </si>
  <si>
    <t>Implement switches, access control lists (ACLs) and VLAN configurations</t>
  </si>
  <si>
    <t>Monitor network traffic and verify control effectiveness</t>
  </si>
  <si>
    <t>Review implemented controls and conduct system audit monitoring</t>
  </si>
  <si>
    <t>Ensure all employees understand and use 2FA correctly</t>
  </si>
  <si>
    <t xml:space="preserve">Confirm passwords are set for the new Authentication Policy </t>
  </si>
  <si>
    <t>Documenting lessons learned and finalize reports</t>
  </si>
  <si>
    <t>Deliver final project results and closeout</t>
  </si>
  <si>
    <t>Project Manager</t>
  </si>
  <si>
    <t>Software engineers</t>
  </si>
  <si>
    <t>Hardware Engineers team lead</t>
  </si>
  <si>
    <t>Hardware and Software Engineers</t>
  </si>
  <si>
    <t xml:space="preserve">Hardware Engineers </t>
  </si>
  <si>
    <t>Project Manager + Software Engineers</t>
  </si>
  <si>
    <t>The project manager oversees policy development and ensures it aligns with project goals.</t>
  </si>
  <si>
    <t>They must understand system access needs and can define proper security levels.</t>
  </si>
  <si>
    <t>They work directly with systems and know where sensitive data exists.</t>
  </si>
  <si>
    <t>They help build realistic and effective response procedures based on technical flow.</t>
  </si>
  <si>
    <t>The project manager communicates project direction and security framework requirements.</t>
  </si>
  <si>
    <t>They oversee technical work and ensure contractors comply with ACME’s security requirements.</t>
  </si>
  <si>
    <t>They evaluate compatibility and plan deployment for the organization.</t>
  </si>
  <si>
    <t>The project manager documents project policies, updates, and changes.</t>
  </si>
  <si>
    <t>Project manager is responsible for communicating approved policies to the team and stakeholders.</t>
  </si>
  <si>
    <t>Project manager ensures that all departments follow the updated authentication standards.</t>
  </si>
  <si>
    <t>They have the expertise to configure, test, and confirm 2FA functionality.</t>
  </si>
  <si>
    <t>They are qualified to replace hardware and configure secure network segmentation.</t>
  </si>
  <si>
    <t>They use monitoring tools to verify that segmentation and ACLs are working correctly.</t>
  </si>
  <si>
    <t>Both ensure controls work as intended, and audit logs are appropriately captured.</t>
  </si>
  <si>
    <t>They oversee training follow-up and user compliance.</t>
  </si>
  <si>
    <t>They can verify account changes and enforce the updated policy.</t>
  </si>
  <si>
    <t>The project manager completes the final reports and summarizes project takeaways.</t>
  </si>
  <si>
    <t>The project manager is responsible for final review, approval, and project completion.</t>
  </si>
  <si>
    <t xml:space="preserve">Install and configure PDF conversion feature </t>
  </si>
  <si>
    <t xml:space="preserve">Test PDF export and confirm functionality </t>
  </si>
  <si>
    <t>Install and configure PDF conversion feature</t>
  </si>
  <si>
    <t>Test PDF export and confirm functionality</t>
  </si>
  <si>
    <t>Contractors</t>
  </si>
  <si>
    <t>They understand document conversion and software setup</t>
  </si>
  <si>
    <t>Software Engineers + DBA</t>
  </si>
  <si>
    <t>They verify the tool works with ACME's reporting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</si>
</sst>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1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D8E4BC"/>
        <bgColor indexed="64"/>
      </patternFill>
    </fill>
    <fill>
      <patternFill patternType="solid">
        <fgColor rgb="FFCCC0DA"/>
        <bgColor indexed="64"/>
      </patternFill>
    </fill>
    <fill>
      <patternFill patternType="solid">
        <fgColor rgb="FFE4DFEC"/>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theme="0" tint="-0.34998626667073579"/>
      </left>
      <right/>
      <top/>
      <bottom style="medium">
        <color theme="0" tint="-0.14996795556505021"/>
      </bottom>
      <diagonal/>
    </border>
    <border>
      <left style="thin">
        <color theme="0" tint="-0.14993743705557422"/>
      </left>
      <right/>
      <top style="medium">
        <color theme="0" tint="-0.14996795556505021"/>
      </top>
      <bottom style="medium">
        <color theme="0" tint="-0.14996795556505021"/>
      </bottom>
      <diagonal/>
    </border>
    <border>
      <left/>
      <right style="thin">
        <color theme="0" tint="-0.34998626667073579"/>
      </right>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medium">
        <color theme="0" tint="-0.14993743705557422"/>
      </left>
      <right style="medium">
        <color theme="0" tint="-0.14993743705557422"/>
      </right>
      <top style="medium">
        <color theme="0" tint="-0.14993743705557422"/>
      </top>
      <bottom/>
      <diagonal/>
    </border>
    <border>
      <left style="medium">
        <color theme="0" tint="-0.14993743705557422"/>
      </left>
      <right style="medium">
        <color theme="0" tint="-0.14993743705557422"/>
      </right>
      <top/>
      <bottom style="medium">
        <color theme="0" tint="-0.14996795556505021"/>
      </bottom>
      <diagonal/>
    </border>
    <border>
      <left style="medium">
        <color theme="0" tint="-0.14993743705557422"/>
      </left>
      <right style="medium">
        <color theme="0" tint="-0.14993743705557422"/>
      </right>
      <top style="medium">
        <color theme="0" tint="-0.14996795556505021"/>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3">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3" fillId="0" borderId="0"/>
    <xf numFmtId="43" fontId="6" fillId="0" borderId="3" applyFont="0" applyFill="0" applyAlignment="0" applyProtection="0"/>
    <xf numFmtId="0" fontId="10"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5" fontId="6" fillId="0" borderId="3">
      <alignment horizontal="center" vertical="center"/>
    </xf>
    <xf numFmtId="164" fontId="6" fillId="0" borderId="2" applyFill="0">
      <alignment horizontal="center" vertical="center"/>
    </xf>
    <xf numFmtId="0" fontId="6" fillId="0" borderId="2" applyFill="0">
      <alignment horizontal="center" vertical="center"/>
    </xf>
    <xf numFmtId="0" fontId="6" fillId="0" borderId="2" applyFill="0">
      <alignment horizontal="left" vertical="center" indent="2"/>
    </xf>
  </cellStyleXfs>
  <cellXfs count="75">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5" fillId="10" borderId="1" xfId="0" applyFont="1" applyFill="1" applyBorder="1" applyAlignment="1">
      <alignment horizontal="left" vertical="center" indent="1"/>
    </xf>
    <xf numFmtId="0" fontId="5" fillId="10" borderId="1" xfId="0" applyFont="1" applyFill="1" applyBorder="1" applyAlignment="1">
      <alignment horizontal="center" vertical="center" wrapText="1"/>
    </xf>
    <xf numFmtId="167" fontId="8" fillId="4" borderId="0" xfId="0" applyNumberFormat="1" applyFont="1" applyFill="1" applyAlignment="1">
      <alignment horizontal="center" vertical="center"/>
    </xf>
    <xf numFmtId="167" fontId="8" fillId="4" borderId="6" xfId="0" applyNumberFormat="1" applyFont="1" applyFill="1" applyBorder="1" applyAlignment="1">
      <alignment horizontal="center" vertical="center"/>
    </xf>
    <xf numFmtId="167" fontId="8" fillId="4" borderId="7" xfId="0" applyNumberFormat="1" applyFont="1" applyFill="1" applyBorder="1" applyAlignment="1">
      <alignment horizontal="center" vertical="center"/>
    </xf>
    <xf numFmtId="0" fontId="9" fillId="9" borderId="8" xfId="0" applyFont="1" applyFill="1" applyBorder="1" applyAlignment="1">
      <alignment horizontal="center" vertical="center" shrinkToFit="1"/>
    </xf>
    <xf numFmtId="0" fontId="11" fillId="0" borderId="0" xfId="0" applyFont="1"/>
    <xf numFmtId="0" fontId="3" fillId="0" borderId="2" xfId="0" applyFont="1" applyBorder="1" applyAlignment="1">
      <alignment horizontal="center" vertic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3" fillId="5" borderId="2" xfId="0" applyNumberFormat="1" applyFont="1" applyFill="1" applyBorder="1" applyAlignment="1">
      <alignment horizontal="center" vertical="center"/>
    </xf>
    <xf numFmtId="9" fontId="3" fillId="2" borderId="2" xfId="2" applyFont="1" applyFill="1" applyBorder="1" applyAlignment="1">
      <alignment horizontal="center" vertical="center"/>
    </xf>
    <xf numFmtId="0" fontId="4" fillId="6" borderId="2" xfId="0" applyFont="1" applyFill="1" applyBorder="1" applyAlignment="1">
      <alignment horizontal="left" vertical="center" indent="1"/>
    </xf>
    <xf numFmtId="9" fontId="3"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3" fillId="6" borderId="2" xfId="0" applyNumberFormat="1" applyFont="1" applyFill="1" applyBorder="1" applyAlignment="1">
      <alignment horizontal="center" vertical="center"/>
    </xf>
    <xf numFmtId="9" fontId="3" fillId="3" borderId="2" xfId="2" applyFont="1" applyFill="1" applyBorder="1" applyAlignment="1">
      <alignment horizontal="center" vertical="center"/>
    </xf>
    <xf numFmtId="9" fontId="3"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1" fillId="0" borderId="0" xfId="0" applyFont="1" applyAlignment="1">
      <alignment horizontal="center" vertical="center"/>
    </xf>
    <xf numFmtId="0" fontId="13" fillId="0" borderId="0" xfId="3"/>
    <xf numFmtId="0" fontId="13" fillId="0" borderId="0" xfId="3" applyAlignment="1">
      <alignment wrapText="1"/>
    </xf>
    <xf numFmtId="0" fontId="13" fillId="0" borderId="0" xfId="0" applyFont="1" applyAlignment="1">
      <alignment horizontal="center"/>
    </xf>
    <xf numFmtId="0" fontId="12" fillId="0" borderId="0" xfId="1" applyFont="1" applyProtection="1">
      <alignment vertical="top"/>
    </xf>
    <xf numFmtId="0" fontId="10" fillId="0" borderId="0" xfId="5" applyAlignment="1">
      <alignment horizontal="left"/>
    </xf>
    <xf numFmtId="164" fontId="6" fillId="2" borderId="2" xfId="10" applyFill="1">
      <alignment horizontal="center" vertical="center"/>
    </xf>
    <xf numFmtId="164" fontId="6" fillId="3" borderId="2" xfId="10" applyFill="1">
      <alignment horizontal="center" vertical="center"/>
    </xf>
    <xf numFmtId="0" fontId="6" fillId="0" borderId="7" xfId="8" applyBorder="1">
      <alignment horizontal="right" indent="1"/>
    </xf>
    <xf numFmtId="0" fontId="9" fillId="9" borderId="11" xfId="0" applyFont="1" applyFill="1" applyBorder="1" applyAlignment="1">
      <alignment horizontal="center" vertical="center" shrinkToFit="1"/>
    </xf>
    <xf numFmtId="0" fontId="0" fillId="0" borderId="12" xfId="0" applyBorder="1" applyAlignment="1">
      <alignment vertical="center"/>
    </xf>
    <xf numFmtId="0" fontId="9" fillId="9" borderId="13" xfId="0" applyFont="1" applyFill="1" applyBorder="1" applyAlignment="1">
      <alignment horizontal="center" vertical="center" shrinkToFit="1"/>
    </xf>
    <xf numFmtId="0" fontId="0" fillId="0" borderId="14" xfId="0" applyBorder="1" applyAlignment="1">
      <alignment vertical="center"/>
    </xf>
    <xf numFmtId="167" fontId="8" fillId="4" borderId="15" xfId="0" applyNumberFormat="1" applyFont="1" applyFill="1" applyBorder="1" applyAlignment="1">
      <alignment horizontal="center" vertical="center"/>
    </xf>
    <xf numFmtId="0" fontId="9" fillId="9" borderId="16" xfId="0" applyFont="1" applyFill="1" applyBorder="1" applyAlignment="1">
      <alignment horizontal="center" vertical="center" shrinkToFit="1"/>
    </xf>
    <xf numFmtId="0" fontId="0" fillId="0" borderId="17" xfId="0" applyBorder="1" applyAlignment="1">
      <alignment vertical="center"/>
    </xf>
    <xf numFmtId="0" fontId="0" fillId="2" borderId="2" xfId="12" applyFont="1" applyFill="1">
      <alignment horizontal="left" vertical="center" indent="2"/>
    </xf>
    <xf numFmtId="0" fontId="0" fillId="3" borderId="2" xfId="12" applyFont="1" applyFill="1">
      <alignment horizontal="left" vertical="center" indent="2"/>
    </xf>
    <xf numFmtId="9" fontId="3" fillId="11" borderId="2" xfId="2" applyFont="1" applyFill="1" applyBorder="1" applyAlignment="1">
      <alignment horizontal="center" vertical="center"/>
    </xf>
    <xf numFmtId="164" fontId="6" fillId="11" borderId="2" xfId="10" applyFill="1">
      <alignment horizontal="center" vertical="center"/>
    </xf>
    <xf numFmtId="9" fontId="3" fillId="12" borderId="2" xfId="2" applyFont="1" applyFill="1" applyBorder="1" applyAlignment="1">
      <alignment horizontal="center" vertical="center"/>
    </xf>
    <xf numFmtId="164" fontId="6" fillId="12" borderId="2" xfId="10" applyFill="1">
      <alignment horizontal="center" vertical="center"/>
    </xf>
    <xf numFmtId="9" fontId="3" fillId="13" borderId="2" xfId="2" applyFont="1" applyFill="1" applyBorder="1" applyAlignment="1">
      <alignment horizontal="center" vertical="center"/>
    </xf>
    <xf numFmtId="164" fontId="6" fillId="13" borderId="2" xfId="10" applyFill="1">
      <alignment horizontal="center" vertical="center"/>
    </xf>
    <xf numFmtId="0" fontId="3" fillId="8" borderId="2" xfId="12" applyFont="1" applyFill="1">
      <alignment horizontal="left" vertical="center" indent="2"/>
    </xf>
    <xf numFmtId="164" fontId="3" fillId="8" borderId="2" xfId="10" applyFont="1" applyFill="1">
      <alignment horizontal="center" vertical="center"/>
    </xf>
    <xf numFmtId="0" fontId="3" fillId="13" borderId="2" xfId="12" applyFont="1" applyFill="1">
      <alignment horizontal="left" vertical="center" indent="2"/>
    </xf>
    <xf numFmtId="0" fontId="0" fillId="2" borderId="18" xfId="12" applyFont="1" applyFill="1" applyBorder="1" applyAlignment="1">
      <alignment horizontal="left" vertical="center" wrapText="1"/>
    </xf>
    <xf numFmtId="9" fontId="3" fillId="2" borderId="18" xfId="2" applyFont="1" applyFill="1" applyBorder="1" applyAlignment="1">
      <alignment horizontal="center" vertical="center" wrapText="1"/>
    </xf>
    <xf numFmtId="0" fontId="0" fillId="3" borderId="18" xfId="12" applyFont="1" applyFill="1" applyBorder="1" applyAlignment="1">
      <alignment horizontal="left" vertical="center" wrapText="1"/>
    </xf>
    <xf numFmtId="9" fontId="3" fillId="3" borderId="18" xfId="2" applyFont="1" applyFill="1" applyBorder="1" applyAlignment="1">
      <alignment horizontal="center" vertical="center" wrapText="1"/>
    </xf>
    <xf numFmtId="0" fontId="0" fillId="8" borderId="18" xfId="12" applyFont="1" applyFill="1" applyBorder="1" applyAlignment="1">
      <alignment horizontal="left" vertical="center" wrapText="1"/>
    </xf>
    <xf numFmtId="9" fontId="3" fillId="8" borderId="18" xfId="2" applyFont="1" applyFill="1" applyBorder="1" applyAlignment="1">
      <alignment horizontal="center" vertical="center" wrapText="1"/>
    </xf>
    <xf numFmtId="0" fontId="0" fillId="7" borderId="18" xfId="12" applyFont="1" applyFill="1" applyBorder="1" applyAlignment="1">
      <alignment horizontal="left" vertical="center" wrapText="1"/>
    </xf>
    <xf numFmtId="9" fontId="3" fillId="7" borderId="18" xfId="2" applyFont="1" applyFill="1" applyBorder="1" applyAlignment="1">
      <alignment horizontal="center" vertical="center" wrapText="1"/>
    </xf>
    <xf numFmtId="0" fontId="0" fillId="0" borderId="0" xfId="7" applyFont="1" applyAlignment="1">
      <alignment vertical="top" wrapText="1"/>
    </xf>
    <xf numFmtId="0" fontId="0" fillId="0" borderId="0" xfId="0" applyAlignment="1">
      <alignment wrapText="1"/>
    </xf>
    <xf numFmtId="0" fontId="4" fillId="11" borderId="2" xfId="12" applyFont="1" applyFill="1" applyAlignment="1">
      <alignment horizontal="left" vertical="center" indent="1"/>
    </xf>
    <xf numFmtId="0" fontId="14" fillId="12" borderId="2" xfId="12" applyFont="1" applyFill="1" applyAlignment="1">
      <alignment horizontal="left" vertical="center" indent="1"/>
    </xf>
    <xf numFmtId="166" fontId="0" fillId="4" borderId="4" xfId="0" applyNumberFormat="1" applyFill="1" applyBorder="1" applyAlignment="1">
      <alignment horizontal="left" vertical="center" wrapText="1" indent="1"/>
    </xf>
    <xf numFmtId="166" fontId="0" fillId="4" borderId="1" xfId="0" applyNumberFormat="1" applyFill="1" applyBorder="1" applyAlignment="1">
      <alignment horizontal="left" vertical="center" wrapText="1" indent="1"/>
    </xf>
    <xf numFmtId="166" fontId="0" fillId="4" borderId="5" xfId="0" applyNumberFormat="1" applyFill="1" applyBorder="1" applyAlignment="1">
      <alignment horizontal="left" vertical="center" wrapText="1" indent="1"/>
    </xf>
    <xf numFmtId="165" fontId="6" fillId="0" borderId="3" xfId="9">
      <alignment horizontal="center" vertical="center"/>
    </xf>
    <xf numFmtId="0" fontId="0" fillId="0" borderId="0" xfId="6" applyFont="1" applyAlignment="1">
      <alignment wrapText="1"/>
    </xf>
    <xf numFmtId="0" fontId="6" fillId="0" borderId="0" xfId="6" applyFont="1" applyAlignment="1">
      <alignment wrapText="1"/>
    </xf>
    <xf numFmtId="0" fontId="0" fillId="0" borderId="10" xfId="0" applyBorder="1"/>
    <xf numFmtId="0" fontId="0" fillId="0" borderId="0" xfId="0" applyAlignment="1">
      <alignment vertical="top" wrapText="1"/>
    </xf>
  </cellXfs>
  <cellStyles count="13">
    <cellStyle name="Comma" xfId="4" builtinId="3" customBuiltin="1"/>
    <cellStyle name="Date" xfId="10" xr:uid="{00000000-0005-0000-0000-000001000000}"/>
    <cellStyle name="Heading 1" xfId="6" builtinId="16" customBuiltin="1"/>
    <cellStyle name="Heading 2" xfId="7" builtinId="17" customBuiltin="1"/>
    <cellStyle name="Heading 3" xfId="8" builtinId="18" customBuiltin="1"/>
    <cellStyle name="Hyperlink" xfId="1" builtinId="8" customBuiltin="1"/>
    <cellStyle name="Name" xfId="11" xr:uid="{00000000-0005-0000-0000-000006000000}"/>
    <cellStyle name="Normal" xfId="0" builtinId="0"/>
    <cellStyle name="Percent" xfId="2" builtinId="5"/>
    <cellStyle name="Project Start" xfId="9" xr:uid="{00000000-0005-0000-0000-000009000000}"/>
    <cellStyle name="Task" xfId="12" xr:uid="{00000000-0005-0000-0000-00000A000000}"/>
    <cellStyle name="Title" xfId="5" builtinId="15" customBuiltin="1"/>
    <cellStyle name="zHiddenText" xfId="3" xr:uid="{00000000-0005-0000-0000-00000C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4DFEC"/>
      <color rgb="FFCCC0DA"/>
      <color rgb="FFD8E4BC"/>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4"/>
  <sheetViews>
    <sheetView showGridLines="0" tabSelected="1" showRuler="0" topLeftCell="B1" zoomScale="55" zoomScaleNormal="55" zoomScalePageLayoutView="70" workbookViewId="0">
      <pane ySplit="6" topLeftCell="A17" activePane="bottomLeft" state="frozen"/>
      <selection pane="bottomLeft" activeCell="W26" sqref="W26"/>
    </sheetView>
  </sheetViews>
  <sheetFormatPr defaultRowHeight="30" customHeight="1" x14ac:dyDescent="0.25"/>
  <cols>
    <col min="1" max="1" width="2.7109375" style="29" customWidth="1"/>
    <col min="2" max="2" width="47.28515625" customWidth="1"/>
    <col min="3" max="3" width="10.7109375" customWidth="1"/>
    <col min="4" max="4" width="10.42578125" style="4" customWidth="1"/>
    <col min="5" max="5" width="10.42578125" customWidth="1"/>
    <col min="6" max="6" width="2.7109375" customWidth="1"/>
    <col min="7" max="7" width="6.140625" hidden="1" customWidth="1"/>
    <col min="8" max="63" width="2.5703125" customWidth="1"/>
    <col min="68" max="69" width="10.28515625"/>
  </cols>
  <sheetData>
    <row r="1" spans="1:63" ht="30" customHeight="1" x14ac:dyDescent="0.55000000000000004">
      <c r="A1" s="30" t="s">
        <v>7</v>
      </c>
      <c r="B1" s="33" t="s">
        <v>19</v>
      </c>
      <c r="C1" s="1"/>
      <c r="D1" s="3"/>
      <c r="E1" s="28"/>
      <c r="G1" s="1"/>
      <c r="H1" s="13"/>
    </row>
    <row r="2" spans="1:63" ht="76.150000000000006" customHeight="1" x14ac:dyDescent="0.3">
      <c r="A2" s="29" t="s">
        <v>5</v>
      </c>
      <c r="B2" s="71" t="s">
        <v>18</v>
      </c>
      <c r="C2" s="72"/>
      <c r="D2" s="72"/>
      <c r="H2" s="32"/>
    </row>
    <row r="3" spans="1:63" ht="30" customHeight="1" x14ac:dyDescent="0.3">
      <c r="A3" s="29" t="s">
        <v>8</v>
      </c>
      <c r="B3" s="63"/>
      <c r="C3" s="36"/>
      <c r="D3" s="70">
        <f ca="1">TODAY()</f>
        <v>46002</v>
      </c>
      <c r="E3" s="70"/>
    </row>
    <row r="4" spans="1:63" ht="30" customHeight="1" thickBot="1" x14ac:dyDescent="0.35">
      <c r="A4" s="30" t="s">
        <v>9</v>
      </c>
      <c r="C4" s="36"/>
      <c r="D4" s="6">
        <v>1</v>
      </c>
      <c r="H4" s="67">
        <f ca="1">H5</f>
        <v>45999</v>
      </c>
      <c r="I4" s="68"/>
      <c r="J4" s="68"/>
      <c r="K4" s="68"/>
      <c r="L4" s="68"/>
      <c r="M4" s="68"/>
      <c r="N4" s="69"/>
      <c r="O4" s="67">
        <f ca="1">O5</f>
        <v>46006</v>
      </c>
      <c r="P4" s="68"/>
      <c r="Q4" s="68"/>
      <c r="R4" s="68"/>
      <c r="S4" s="68"/>
      <c r="T4" s="68"/>
      <c r="U4" s="69"/>
      <c r="V4" s="67">
        <f ca="1">V5</f>
        <v>46013</v>
      </c>
      <c r="W4" s="68"/>
      <c r="X4" s="68"/>
      <c r="Y4" s="68"/>
      <c r="Z4" s="68"/>
      <c r="AA4" s="68"/>
      <c r="AB4" s="69"/>
      <c r="AC4" s="67">
        <f ca="1">AC5</f>
        <v>46020</v>
      </c>
      <c r="AD4" s="68"/>
      <c r="AE4" s="68"/>
      <c r="AF4" s="68"/>
      <c r="AG4" s="68"/>
      <c r="AH4" s="68"/>
      <c r="AI4" s="69"/>
      <c r="AJ4" s="67">
        <f ca="1">AJ5</f>
        <v>46027</v>
      </c>
      <c r="AK4" s="68"/>
      <c r="AL4" s="68"/>
      <c r="AM4" s="68"/>
      <c r="AN4" s="68"/>
      <c r="AO4" s="68"/>
      <c r="AP4" s="69"/>
      <c r="AQ4" s="67">
        <f ca="1">AQ5</f>
        <v>46034</v>
      </c>
      <c r="AR4" s="68"/>
      <c r="AS4" s="68"/>
      <c r="AT4" s="68"/>
      <c r="AU4" s="68"/>
      <c r="AV4" s="68"/>
      <c r="AW4" s="69"/>
      <c r="AX4" s="67">
        <f ca="1">AX5</f>
        <v>46041</v>
      </c>
      <c r="AY4" s="68"/>
      <c r="AZ4" s="68"/>
      <c r="BA4" s="68"/>
      <c r="BB4" s="68"/>
      <c r="BC4" s="68"/>
      <c r="BD4" s="69"/>
      <c r="BE4" s="67">
        <f ca="1">BE5</f>
        <v>46048</v>
      </c>
      <c r="BF4" s="68"/>
      <c r="BG4" s="68"/>
      <c r="BH4" s="68"/>
      <c r="BI4" s="68"/>
      <c r="BJ4" s="68"/>
      <c r="BK4" s="69"/>
    </row>
    <row r="5" spans="1:63" ht="15" customHeight="1" x14ac:dyDescent="0.3">
      <c r="A5" s="30" t="s">
        <v>10</v>
      </c>
      <c r="B5" s="73"/>
      <c r="C5" s="73"/>
      <c r="D5" s="73"/>
      <c r="E5" s="73"/>
      <c r="F5" s="73"/>
      <c r="H5" s="10">
        <f ca="1">Project_Start-WEEKDAY(Project_Start,1)+2+7*(Display_Week-1)</f>
        <v>45999</v>
      </c>
      <c r="I5" s="9">
        <f ca="1">H5+1</f>
        <v>46000</v>
      </c>
      <c r="J5" s="9">
        <f t="shared" ref="J5:AW5" ca="1" si="0">I5+1</f>
        <v>46001</v>
      </c>
      <c r="K5" s="41">
        <f t="shared" ca="1" si="0"/>
        <v>46002</v>
      </c>
      <c r="L5" s="9">
        <f t="shared" ca="1" si="0"/>
        <v>46003</v>
      </c>
      <c r="M5" s="9">
        <f t="shared" ca="1" si="0"/>
        <v>46004</v>
      </c>
      <c r="N5" s="11">
        <f t="shared" ca="1" si="0"/>
        <v>46005</v>
      </c>
      <c r="O5" s="10">
        <f ca="1">N5+1</f>
        <v>46006</v>
      </c>
      <c r="P5" s="9">
        <f ca="1">O5+1</f>
        <v>46007</v>
      </c>
      <c r="Q5" s="9">
        <f t="shared" ca="1" si="0"/>
        <v>46008</v>
      </c>
      <c r="R5" s="9">
        <f t="shared" ca="1" si="0"/>
        <v>46009</v>
      </c>
      <c r="S5" s="9">
        <f t="shared" ca="1" si="0"/>
        <v>46010</v>
      </c>
      <c r="T5" s="9">
        <f t="shared" ca="1" si="0"/>
        <v>46011</v>
      </c>
      <c r="U5" s="11">
        <f t="shared" ca="1" si="0"/>
        <v>46012</v>
      </c>
      <c r="V5" s="10">
        <f ca="1">U5+1</f>
        <v>46013</v>
      </c>
      <c r="W5" s="9">
        <f ca="1">V5+1</f>
        <v>46014</v>
      </c>
      <c r="X5" s="9">
        <f t="shared" ca="1" si="0"/>
        <v>46015</v>
      </c>
      <c r="Y5" s="9">
        <f t="shared" ca="1" si="0"/>
        <v>46016</v>
      </c>
      <c r="Z5" s="9">
        <f t="shared" ca="1" si="0"/>
        <v>46017</v>
      </c>
      <c r="AA5" s="9">
        <f t="shared" ca="1" si="0"/>
        <v>46018</v>
      </c>
      <c r="AB5" s="11">
        <f t="shared" ca="1" si="0"/>
        <v>46019</v>
      </c>
      <c r="AC5" s="10">
        <f ca="1">AB5+1</f>
        <v>46020</v>
      </c>
      <c r="AD5" s="9">
        <f ca="1">AC5+1</f>
        <v>46021</v>
      </c>
      <c r="AE5" s="9">
        <f t="shared" ca="1" si="0"/>
        <v>46022</v>
      </c>
      <c r="AF5" s="9">
        <f t="shared" ca="1" si="0"/>
        <v>46023</v>
      </c>
      <c r="AG5" s="9">
        <f t="shared" ca="1" si="0"/>
        <v>46024</v>
      </c>
      <c r="AH5" s="9">
        <f t="shared" ca="1" si="0"/>
        <v>46025</v>
      </c>
      <c r="AI5" s="11">
        <f t="shared" ca="1" si="0"/>
        <v>46026</v>
      </c>
      <c r="AJ5" s="10">
        <f ca="1">AI5+1</f>
        <v>46027</v>
      </c>
      <c r="AK5" s="9">
        <f ca="1">AJ5+1</f>
        <v>46028</v>
      </c>
      <c r="AL5" s="9">
        <f t="shared" ca="1" si="0"/>
        <v>46029</v>
      </c>
      <c r="AM5" s="9">
        <f t="shared" ca="1" si="0"/>
        <v>46030</v>
      </c>
      <c r="AN5" s="9">
        <f t="shared" ca="1" si="0"/>
        <v>46031</v>
      </c>
      <c r="AO5" s="9">
        <f t="shared" ca="1" si="0"/>
        <v>46032</v>
      </c>
      <c r="AP5" s="11">
        <f t="shared" ca="1" si="0"/>
        <v>46033</v>
      </c>
      <c r="AQ5" s="10">
        <f ca="1">AP5+1</f>
        <v>46034</v>
      </c>
      <c r="AR5" s="9">
        <f ca="1">AQ5+1</f>
        <v>46035</v>
      </c>
      <c r="AS5" s="9">
        <f t="shared" ca="1" si="0"/>
        <v>46036</v>
      </c>
      <c r="AT5" s="9">
        <f t="shared" ca="1" si="0"/>
        <v>46037</v>
      </c>
      <c r="AU5" s="9">
        <f t="shared" ca="1" si="0"/>
        <v>46038</v>
      </c>
      <c r="AV5" s="9">
        <f t="shared" ca="1" si="0"/>
        <v>46039</v>
      </c>
      <c r="AW5" s="11">
        <f t="shared" ca="1" si="0"/>
        <v>46040</v>
      </c>
      <c r="AX5" s="10">
        <f ca="1">AW5+1</f>
        <v>46041</v>
      </c>
      <c r="AY5" s="9">
        <f ca="1">AX5+1</f>
        <v>46042</v>
      </c>
      <c r="AZ5" s="9">
        <f t="shared" ref="AZ5:BD5" ca="1" si="1">AY5+1</f>
        <v>46043</v>
      </c>
      <c r="BA5" s="9">
        <f t="shared" ca="1" si="1"/>
        <v>46044</v>
      </c>
      <c r="BB5" s="9">
        <f t="shared" ca="1" si="1"/>
        <v>46045</v>
      </c>
      <c r="BC5" s="9">
        <f t="shared" ca="1" si="1"/>
        <v>46046</v>
      </c>
      <c r="BD5" s="11">
        <f t="shared" ca="1" si="1"/>
        <v>46047</v>
      </c>
      <c r="BE5" s="10">
        <f ca="1">BD5+1</f>
        <v>46048</v>
      </c>
      <c r="BF5" s="9">
        <f ca="1">BE5+1</f>
        <v>46049</v>
      </c>
      <c r="BG5" s="9">
        <f t="shared" ref="BG5:BK5" ca="1" si="2">BF5+1</f>
        <v>46050</v>
      </c>
      <c r="BH5" s="9">
        <f t="shared" ca="1" si="2"/>
        <v>46051</v>
      </c>
      <c r="BI5" s="9">
        <f t="shared" ca="1" si="2"/>
        <v>46052</v>
      </c>
      <c r="BJ5" s="9">
        <f t="shared" ca="1" si="2"/>
        <v>46053</v>
      </c>
      <c r="BK5" s="11">
        <f t="shared" ca="1" si="2"/>
        <v>46054</v>
      </c>
    </row>
    <row r="6" spans="1:63" ht="30" customHeight="1" thickBot="1" x14ac:dyDescent="0.35">
      <c r="A6" s="30" t="s">
        <v>11</v>
      </c>
      <c r="B6" s="7" t="s">
        <v>4</v>
      </c>
      <c r="C6" s="8" t="s">
        <v>0</v>
      </c>
      <c r="D6" s="8" t="s">
        <v>1</v>
      </c>
      <c r="E6" s="8" t="s">
        <v>2</v>
      </c>
      <c r="F6" s="8"/>
      <c r="G6" s="8" t="s">
        <v>3</v>
      </c>
      <c r="H6" s="12" t="str">
        <f t="shared" ref="H6" ca="1" si="3">LEFT(TEXT(H5,"ddd"),1)</f>
        <v>M</v>
      </c>
      <c r="I6" s="12" t="str">
        <f t="shared" ref="I6:AQ6" ca="1" si="4">LEFT(TEXT(I5,"ddd"),1)</f>
        <v>T</v>
      </c>
      <c r="J6" s="37" t="str">
        <f t="shared" ca="1" si="4"/>
        <v>W</v>
      </c>
      <c r="K6" s="42" t="str">
        <f t="shared" ca="1" si="4"/>
        <v>T</v>
      </c>
      <c r="L6" s="39" t="str">
        <f t="shared" ca="1" si="4"/>
        <v>F</v>
      </c>
      <c r="M6" s="12" t="str">
        <f t="shared" ca="1" si="4"/>
        <v>S</v>
      </c>
      <c r="N6" s="12" t="str">
        <f t="shared" ca="1" si="4"/>
        <v>S</v>
      </c>
      <c r="O6" s="12" t="str">
        <f t="shared" ca="1" si="4"/>
        <v>M</v>
      </c>
      <c r="P6" s="12" t="str">
        <f t="shared" ca="1" si="4"/>
        <v>T</v>
      </c>
      <c r="Q6" s="12" t="str">
        <f t="shared" ca="1" si="4"/>
        <v>W</v>
      </c>
      <c r="R6" s="12" t="str">
        <f t="shared" ca="1" si="4"/>
        <v>T</v>
      </c>
      <c r="S6" s="12" t="str">
        <f t="shared" ca="1" si="4"/>
        <v>F</v>
      </c>
      <c r="T6" s="12" t="str">
        <f t="shared" ca="1" si="4"/>
        <v>S</v>
      </c>
      <c r="U6" s="12" t="str">
        <f t="shared" ca="1" si="4"/>
        <v>S</v>
      </c>
      <c r="V6" s="12" t="str">
        <f t="shared" ca="1" si="4"/>
        <v>M</v>
      </c>
      <c r="W6" s="12" t="str">
        <f t="shared" ca="1" si="4"/>
        <v>T</v>
      </c>
      <c r="X6" s="12" t="str">
        <f t="shared" ca="1" si="4"/>
        <v>W</v>
      </c>
      <c r="Y6" s="12" t="str">
        <f t="shared" ca="1" si="4"/>
        <v>T</v>
      </c>
      <c r="Z6" s="12" t="str">
        <f t="shared" ca="1" si="4"/>
        <v>F</v>
      </c>
      <c r="AA6" s="12" t="str">
        <f t="shared" ca="1" si="4"/>
        <v>S</v>
      </c>
      <c r="AB6" s="12" t="str">
        <f t="shared" ca="1" si="4"/>
        <v>S</v>
      </c>
      <c r="AC6" s="12" t="str">
        <f t="shared" ca="1" si="4"/>
        <v>M</v>
      </c>
      <c r="AD6" s="12" t="str">
        <f t="shared" ca="1" si="4"/>
        <v>T</v>
      </c>
      <c r="AE6" s="12" t="str">
        <f t="shared" ca="1" si="4"/>
        <v>W</v>
      </c>
      <c r="AF6" s="12" t="str">
        <f t="shared" ca="1" si="4"/>
        <v>T</v>
      </c>
      <c r="AG6" s="12" t="str">
        <f t="shared" ca="1" si="4"/>
        <v>F</v>
      </c>
      <c r="AH6" s="12" t="str">
        <f t="shared" ca="1" si="4"/>
        <v>S</v>
      </c>
      <c r="AI6" s="12" t="str">
        <f t="shared" ca="1" si="4"/>
        <v>S</v>
      </c>
      <c r="AJ6" s="12" t="str">
        <f t="shared" ca="1" si="4"/>
        <v>M</v>
      </c>
      <c r="AK6" s="12" t="str">
        <f t="shared" ca="1" si="4"/>
        <v>T</v>
      </c>
      <c r="AL6" s="12" t="str">
        <f t="shared" ca="1" si="4"/>
        <v>W</v>
      </c>
      <c r="AM6" s="12" t="str">
        <f t="shared" ca="1" si="4"/>
        <v>T</v>
      </c>
      <c r="AN6" s="12" t="str">
        <f t="shared" ca="1" si="4"/>
        <v>F</v>
      </c>
      <c r="AO6" s="12" t="str">
        <f t="shared" ca="1" si="4"/>
        <v>S</v>
      </c>
      <c r="AP6" s="12" t="str">
        <f t="shared" ca="1" si="4"/>
        <v>S</v>
      </c>
      <c r="AQ6" s="12" t="str">
        <f t="shared" ca="1" si="4"/>
        <v>M</v>
      </c>
      <c r="AR6" s="12" t="str">
        <f t="shared" ref="AR6:BK6" ca="1" si="5">LEFT(TEXT(AR5,"ddd"),1)</f>
        <v>T</v>
      </c>
      <c r="AS6" s="12" t="str">
        <f t="shared" ca="1" si="5"/>
        <v>W</v>
      </c>
      <c r="AT6" s="12" t="str">
        <f t="shared" ca="1" si="5"/>
        <v>T</v>
      </c>
      <c r="AU6" s="12" t="str">
        <f t="shared" ca="1" si="5"/>
        <v>F</v>
      </c>
      <c r="AV6" s="12" t="str">
        <f t="shared" ca="1" si="5"/>
        <v>S</v>
      </c>
      <c r="AW6" s="12" t="str">
        <f t="shared" ca="1" si="5"/>
        <v>S</v>
      </c>
      <c r="AX6" s="12" t="str">
        <f t="shared" ca="1" si="5"/>
        <v>M</v>
      </c>
      <c r="AY6" s="12" t="str">
        <f t="shared" ca="1" si="5"/>
        <v>T</v>
      </c>
      <c r="AZ6" s="12" t="str">
        <f t="shared" ca="1" si="5"/>
        <v>W</v>
      </c>
      <c r="BA6" s="12" t="str">
        <f t="shared" ca="1" si="5"/>
        <v>T</v>
      </c>
      <c r="BB6" s="12" t="str">
        <f t="shared" ca="1" si="5"/>
        <v>F</v>
      </c>
      <c r="BC6" s="12" t="str">
        <f t="shared" ca="1" si="5"/>
        <v>S</v>
      </c>
      <c r="BD6" s="12" t="str">
        <f t="shared" ca="1" si="5"/>
        <v>S</v>
      </c>
      <c r="BE6" s="12" t="str">
        <f t="shared" ca="1" si="5"/>
        <v>M</v>
      </c>
      <c r="BF6" s="12" t="str">
        <f t="shared" ca="1" si="5"/>
        <v>T</v>
      </c>
      <c r="BG6" s="12" t="str">
        <f t="shared" ca="1" si="5"/>
        <v>W</v>
      </c>
      <c r="BH6" s="12" t="str">
        <f t="shared" ca="1" si="5"/>
        <v>T</v>
      </c>
      <c r="BI6" s="12" t="str">
        <f t="shared" ca="1" si="5"/>
        <v>F</v>
      </c>
      <c r="BJ6" s="12" t="str">
        <f t="shared" ca="1" si="5"/>
        <v>S</v>
      </c>
      <c r="BK6" s="12" t="str">
        <f t="shared" ca="1" si="5"/>
        <v>S</v>
      </c>
    </row>
    <row r="7" spans="1:63" ht="30" hidden="1" customHeight="1" thickBot="1" x14ac:dyDescent="0.35">
      <c r="A7" s="29" t="s">
        <v>6</v>
      </c>
      <c r="D7"/>
      <c r="G7" t="str">
        <f>IF(OR(ISBLANK(task_start),ISBLANK(task_end)),"",task_end-task_start+1)</f>
        <v/>
      </c>
      <c r="H7" s="26"/>
      <c r="I7" s="26"/>
      <c r="J7" s="38"/>
      <c r="K7" s="43"/>
      <c r="L7" s="40"/>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row>
    <row r="8" spans="1:63" s="2" customFormat="1" ht="30" customHeight="1" thickBot="1" x14ac:dyDescent="0.35">
      <c r="A8" s="30" t="s">
        <v>12</v>
      </c>
      <c r="B8" s="15" t="s">
        <v>22</v>
      </c>
      <c r="C8" s="16"/>
      <c r="D8" s="17"/>
      <c r="E8" s="18"/>
      <c r="F8" s="14"/>
      <c r="G8" s="14" t="str">
        <f t="shared" ref="G8:G26" si="6">IF(OR(ISBLANK(task_start),ISBLANK(task_end)),"",task_end-task_start+1)</f>
        <v/>
      </c>
      <c r="H8" s="26"/>
      <c r="I8" s="26"/>
      <c r="J8" s="38"/>
      <c r="K8" s="43"/>
      <c r="L8" s="40"/>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row>
    <row r="9" spans="1:63" s="2" customFormat="1" ht="30" customHeight="1" thickBot="1" x14ac:dyDescent="0.35">
      <c r="A9" s="30" t="s">
        <v>13</v>
      </c>
      <c r="B9" s="44" t="s">
        <v>26</v>
      </c>
      <c r="C9" s="19"/>
      <c r="D9" s="34">
        <v>45999</v>
      </c>
      <c r="E9" s="34">
        <v>45999</v>
      </c>
      <c r="F9" s="14"/>
      <c r="G9" s="14">
        <f t="shared" si="6"/>
        <v>1</v>
      </c>
      <c r="H9" s="26"/>
      <c r="I9" s="26"/>
      <c r="J9" s="38"/>
      <c r="K9" s="43"/>
      <c r="L9" s="40"/>
      <c r="M9" s="26"/>
      <c r="N9" s="26"/>
      <c r="O9" s="26"/>
      <c r="P9" s="26"/>
      <c r="Q9" s="26"/>
      <c r="R9" s="26"/>
      <c r="S9" s="26"/>
      <c r="T9" s="27"/>
      <c r="U9" s="27"/>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row>
    <row r="10" spans="1:63" s="2" customFormat="1" ht="30" customHeight="1" thickBot="1" x14ac:dyDescent="0.3">
      <c r="A10" s="29"/>
      <c r="B10" s="44" t="s">
        <v>27</v>
      </c>
      <c r="C10" s="19"/>
      <c r="D10" s="34">
        <v>45999</v>
      </c>
      <c r="E10" s="34">
        <v>46001</v>
      </c>
      <c r="F10" s="14"/>
      <c r="G10" s="14">
        <f t="shared" si="6"/>
        <v>3</v>
      </c>
      <c r="H10" s="26"/>
      <c r="I10" s="26"/>
      <c r="J10" s="38"/>
      <c r="K10" s="43"/>
      <c r="L10" s="40"/>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row>
    <row r="11" spans="1:63" s="2" customFormat="1" ht="30" customHeight="1" thickBot="1" x14ac:dyDescent="0.3">
      <c r="A11" s="29"/>
      <c r="B11" s="44" t="s">
        <v>28</v>
      </c>
      <c r="C11" s="19"/>
      <c r="D11" s="34">
        <v>46001</v>
      </c>
      <c r="E11" s="34">
        <v>46003</v>
      </c>
      <c r="F11" s="14"/>
      <c r="G11" s="14"/>
      <c r="H11" s="26"/>
      <c r="I11" s="26"/>
      <c r="J11" s="38"/>
      <c r="K11" s="43"/>
      <c r="L11" s="40"/>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row>
    <row r="12" spans="1:63" s="2" customFormat="1" ht="30" customHeight="1" thickBot="1" x14ac:dyDescent="0.3">
      <c r="A12" s="29"/>
      <c r="B12" s="44" t="s">
        <v>29</v>
      </c>
      <c r="C12" s="19"/>
      <c r="D12" s="34">
        <v>46003</v>
      </c>
      <c r="E12" s="34">
        <v>46006</v>
      </c>
      <c r="F12" s="14"/>
      <c r="G12" s="14"/>
      <c r="H12" s="26"/>
      <c r="I12" s="26"/>
      <c r="J12" s="38"/>
      <c r="K12" s="43"/>
      <c r="L12" s="40"/>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row>
    <row r="13" spans="1:63" s="2" customFormat="1" ht="30" customHeight="1" thickBot="1" x14ac:dyDescent="0.3">
      <c r="A13" s="29"/>
      <c r="B13" s="44" t="s">
        <v>30</v>
      </c>
      <c r="C13" s="19"/>
      <c r="D13" s="34">
        <v>46006</v>
      </c>
      <c r="E13" s="34">
        <v>46011</v>
      </c>
      <c r="F13" s="14"/>
      <c r="G13" s="14"/>
      <c r="H13" s="26"/>
      <c r="I13" s="26"/>
      <c r="J13" s="38"/>
      <c r="K13" s="43"/>
      <c r="L13" s="40"/>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row>
    <row r="14" spans="1:63" s="2" customFormat="1" ht="30" customHeight="1" thickBot="1" x14ac:dyDescent="0.3">
      <c r="A14" s="30" t="s">
        <v>14</v>
      </c>
      <c r="B14" s="20" t="s">
        <v>23</v>
      </c>
      <c r="C14" s="21"/>
      <c r="D14" s="22"/>
      <c r="E14" s="23"/>
      <c r="F14" s="14"/>
      <c r="G14" s="14" t="str">
        <f t="shared" si="6"/>
        <v/>
      </c>
      <c r="H14" s="26"/>
      <c r="I14" s="26"/>
      <c r="J14" s="38"/>
      <c r="K14" s="43"/>
      <c r="L14" s="40"/>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row>
    <row r="15" spans="1:63" s="2" customFormat="1" ht="30" customHeight="1" thickBot="1" x14ac:dyDescent="0.35">
      <c r="A15" s="30"/>
      <c r="B15" s="45" t="s">
        <v>31</v>
      </c>
      <c r="C15" s="24"/>
      <c r="D15" s="35">
        <v>46013</v>
      </c>
      <c r="E15" s="35">
        <v>46014</v>
      </c>
      <c r="F15" s="14"/>
      <c r="G15" s="14">
        <f t="shared" si="6"/>
        <v>2</v>
      </c>
      <c r="H15" s="26"/>
      <c r="I15" s="26"/>
      <c r="J15" s="38"/>
      <c r="K15" s="43"/>
      <c r="L15" s="40"/>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row>
    <row r="16" spans="1:63" s="2" customFormat="1" ht="30" customHeight="1" thickBot="1" x14ac:dyDescent="0.3">
      <c r="A16" s="30"/>
      <c r="B16" s="45" t="s">
        <v>32</v>
      </c>
      <c r="C16" s="24"/>
      <c r="D16" s="35">
        <v>46014</v>
      </c>
      <c r="E16" s="35">
        <v>46021</v>
      </c>
      <c r="F16" s="14"/>
      <c r="G16" s="14"/>
      <c r="H16" s="26"/>
      <c r="I16" s="26"/>
      <c r="J16" s="38"/>
      <c r="K16" s="43"/>
      <c r="L16" s="40"/>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row>
    <row r="17" spans="1:63" s="2" customFormat="1" ht="30" customHeight="1" thickBot="1" x14ac:dyDescent="0.3">
      <c r="A17" s="30"/>
      <c r="B17" s="45" t="s">
        <v>33</v>
      </c>
      <c r="C17" s="24"/>
      <c r="D17" s="35">
        <v>46021</v>
      </c>
      <c r="E17" s="35">
        <v>46031</v>
      </c>
      <c r="F17" s="14"/>
      <c r="G17" s="14"/>
      <c r="H17" s="26"/>
      <c r="I17" s="26"/>
      <c r="J17" s="38"/>
      <c r="K17" s="43"/>
      <c r="L17" s="40"/>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row>
    <row r="18" spans="1:63" s="2" customFormat="1" ht="30" customHeight="1" thickBot="1" x14ac:dyDescent="0.3">
      <c r="A18" s="30"/>
      <c r="B18" s="45" t="s">
        <v>34</v>
      </c>
      <c r="C18" s="24"/>
      <c r="D18" s="35">
        <v>46027</v>
      </c>
      <c r="E18" s="35">
        <v>46031</v>
      </c>
      <c r="F18" s="14"/>
      <c r="G18" s="14"/>
      <c r="H18" s="26"/>
      <c r="I18" s="26"/>
      <c r="J18" s="38"/>
      <c r="K18" s="43"/>
      <c r="L18" s="40"/>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row>
    <row r="19" spans="1:63" s="2" customFormat="1" ht="30" customHeight="1" thickBot="1" x14ac:dyDescent="0.3">
      <c r="A19" s="29"/>
      <c r="B19" s="45" t="s">
        <v>35</v>
      </c>
      <c r="C19" s="24"/>
      <c r="D19" s="35">
        <v>46031</v>
      </c>
      <c r="E19" s="35">
        <v>46032</v>
      </c>
      <c r="F19" s="14"/>
      <c r="G19" s="14">
        <f t="shared" si="6"/>
        <v>2</v>
      </c>
      <c r="H19" s="26"/>
      <c r="I19" s="26"/>
      <c r="J19" s="38"/>
      <c r="K19" s="43"/>
      <c r="L19" s="40"/>
      <c r="M19" s="26"/>
      <c r="N19" s="26"/>
      <c r="O19" s="26"/>
      <c r="P19" s="26"/>
      <c r="Q19" s="26"/>
      <c r="R19" s="26"/>
      <c r="S19" s="26"/>
      <c r="T19" s="27"/>
      <c r="U19" s="27"/>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row>
    <row r="20" spans="1:63" s="2" customFormat="1" ht="30" customHeight="1" thickBot="1" x14ac:dyDescent="0.35">
      <c r="A20" s="29"/>
      <c r="B20" s="65" t="s">
        <v>24</v>
      </c>
      <c r="C20" s="46"/>
      <c r="D20" s="47"/>
      <c r="E20" s="47"/>
      <c r="F20" s="14"/>
      <c r="G20" s="14"/>
      <c r="H20" s="26"/>
      <c r="I20" s="26"/>
      <c r="J20" s="38"/>
      <c r="K20" s="43"/>
      <c r="L20" s="40"/>
      <c r="M20" s="26"/>
      <c r="N20" s="26"/>
      <c r="O20" s="26"/>
      <c r="P20" s="26"/>
      <c r="Q20" s="26"/>
      <c r="R20" s="26"/>
      <c r="S20" s="26"/>
      <c r="T20" s="27"/>
      <c r="U20" s="27"/>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row>
    <row r="21" spans="1:63" s="2" customFormat="1" ht="30" customHeight="1" thickBot="1" x14ac:dyDescent="0.35">
      <c r="A21" s="29"/>
      <c r="B21" s="52" t="s">
        <v>36</v>
      </c>
      <c r="C21" s="25"/>
      <c r="D21" s="53">
        <v>46034</v>
      </c>
      <c r="E21" s="53">
        <v>46038</v>
      </c>
      <c r="F21" s="14"/>
      <c r="G21" s="14">
        <f t="shared" si="6"/>
        <v>5</v>
      </c>
      <c r="H21" s="26"/>
      <c r="I21" s="26"/>
      <c r="J21" s="38"/>
      <c r="K21" s="43"/>
      <c r="L21" s="40"/>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row>
    <row r="22" spans="1:63" s="2" customFormat="1" ht="30" customHeight="1" thickBot="1" x14ac:dyDescent="0.3">
      <c r="A22" s="29"/>
      <c r="B22" s="52" t="s">
        <v>37</v>
      </c>
      <c r="C22" s="25"/>
      <c r="D22" s="53">
        <v>46038</v>
      </c>
      <c r="E22" s="53">
        <v>46045</v>
      </c>
      <c r="F22" s="14"/>
      <c r="G22" s="14">
        <f t="shared" si="6"/>
        <v>8</v>
      </c>
      <c r="H22" s="26"/>
      <c r="I22" s="26"/>
      <c r="J22" s="38"/>
      <c r="K22" s="43"/>
      <c r="L22" s="40"/>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row>
    <row r="23" spans="1:63" s="2" customFormat="1" ht="30" customHeight="1" thickBot="1" x14ac:dyDescent="0.3">
      <c r="A23" s="29"/>
      <c r="B23" s="52" t="s">
        <v>38</v>
      </c>
      <c r="C23" s="25"/>
      <c r="D23" s="53">
        <v>46045</v>
      </c>
      <c r="E23" s="53">
        <v>46059</v>
      </c>
      <c r="F23" s="14"/>
      <c r="G23" s="14"/>
      <c r="H23" s="26"/>
      <c r="I23" s="26"/>
      <c r="J23" s="38"/>
      <c r="K23" s="43"/>
      <c r="L23" s="40"/>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row>
    <row r="24" spans="1:63" s="2" customFormat="1" ht="30" customHeight="1" thickBot="1" x14ac:dyDescent="0.3">
      <c r="A24" s="29"/>
      <c r="B24" s="52" t="s">
        <v>39</v>
      </c>
      <c r="C24" s="25"/>
      <c r="D24" s="53">
        <v>46059</v>
      </c>
      <c r="E24" s="53">
        <v>46066</v>
      </c>
      <c r="F24" s="14"/>
      <c r="G24" s="14"/>
      <c r="H24" s="26"/>
      <c r="I24" s="26"/>
      <c r="J24" s="38"/>
      <c r="K24" s="43"/>
      <c r="L24" s="40"/>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row>
    <row r="25" spans="1:63" s="2" customFormat="1" ht="30" customHeight="1" thickBot="1" x14ac:dyDescent="0.3">
      <c r="A25" s="29"/>
      <c r="B25" s="52" t="s">
        <v>69</v>
      </c>
      <c r="C25" s="25"/>
      <c r="D25" s="53">
        <v>46068</v>
      </c>
      <c r="E25" s="53">
        <v>46073</v>
      </c>
      <c r="F25" s="14"/>
      <c r="G25" s="14"/>
      <c r="H25" s="26"/>
      <c r="I25" s="26"/>
      <c r="J25" s="38"/>
      <c r="K25" s="43"/>
      <c r="L25" s="40"/>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row>
    <row r="26" spans="1:63" s="2" customFormat="1" ht="30" customHeight="1" thickBot="1" x14ac:dyDescent="0.3">
      <c r="A26" s="29"/>
      <c r="B26" s="52" t="s">
        <v>70</v>
      </c>
      <c r="C26" s="25"/>
      <c r="D26" s="53">
        <v>46073</v>
      </c>
      <c r="E26" s="53">
        <v>46077</v>
      </c>
      <c r="F26" s="14"/>
      <c r="G26" s="14">
        <f t="shared" si="6"/>
        <v>5</v>
      </c>
      <c r="H26" s="26"/>
      <c r="I26" s="26"/>
      <c r="J26" s="38"/>
      <c r="K26" s="43"/>
      <c r="L26" s="40"/>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row>
    <row r="27" spans="1:63" s="2" customFormat="1" ht="30" customHeight="1" thickBot="1" x14ac:dyDescent="0.35">
      <c r="A27" s="29"/>
      <c r="B27" s="66" t="s">
        <v>25</v>
      </c>
      <c r="C27" s="48"/>
      <c r="D27" s="49"/>
      <c r="E27" s="49"/>
      <c r="F27" s="14"/>
      <c r="G27" s="14"/>
      <c r="H27" s="26"/>
      <c r="I27" s="26"/>
      <c r="J27" s="38"/>
      <c r="K27" s="43"/>
      <c r="L27" s="40"/>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row>
    <row r="28" spans="1:63" s="2" customFormat="1" ht="30" customHeight="1" thickBot="1" x14ac:dyDescent="0.35">
      <c r="A28" s="29"/>
      <c r="B28" s="54" t="s">
        <v>40</v>
      </c>
      <c r="C28" s="50"/>
      <c r="D28" s="51">
        <v>46077</v>
      </c>
      <c r="E28" s="51">
        <v>46077</v>
      </c>
      <c r="F28" s="14"/>
      <c r="G28" s="14"/>
      <c r="H28" s="26"/>
      <c r="I28" s="26"/>
      <c r="J28" s="38"/>
      <c r="K28" s="43"/>
      <c r="L28" s="40"/>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row>
    <row r="29" spans="1:63" s="2" customFormat="1" ht="30" customHeight="1" thickBot="1" x14ac:dyDescent="0.3">
      <c r="A29" s="29"/>
      <c r="B29" s="54" t="s">
        <v>41</v>
      </c>
      <c r="C29" s="50"/>
      <c r="D29" s="51">
        <v>46081</v>
      </c>
      <c r="E29" s="51">
        <v>46084</v>
      </c>
      <c r="F29" s="14"/>
      <c r="G29" s="14"/>
      <c r="H29" s="26"/>
      <c r="I29" s="26"/>
      <c r="J29" s="38"/>
      <c r="K29" s="43"/>
      <c r="L29" s="40"/>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row>
    <row r="30" spans="1:63" s="2" customFormat="1" ht="30" customHeight="1" thickBot="1" x14ac:dyDescent="0.3">
      <c r="A30" s="29"/>
      <c r="B30" s="54" t="s">
        <v>42</v>
      </c>
      <c r="C30" s="50"/>
      <c r="D30" s="51">
        <v>46084</v>
      </c>
      <c r="E30" s="51">
        <v>46086</v>
      </c>
      <c r="F30" s="14"/>
      <c r="G30" s="14"/>
      <c r="H30" s="26"/>
      <c r="I30" s="26"/>
      <c r="J30" s="38"/>
      <c r="K30" s="43"/>
      <c r="L30" s="40"/>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row>
    <row r="31" spans="1:63" s="2" customFormat="1" ht="30" customHeight="1" thickBot="1" x14ac:dyDescent="0.3">
      <c r="A31" s="29"/>
      <c r="B31" s="54" t="s">
        <v>43</v>
      </c>
      <c r="C31" s="50"/>
      <c r="D31" s="51">
        <v>46086</v>
      </c>
      <c r="E31" s="51">
        <v>46091</v>
      </c>
      <c r="F31" s="14"/>
      <c r="G31" s="14"/>
      <c r="H31" s="26"/>
      <c r="I31" s="26"/>
      <c r="J31" s="38"/>
      <c r="K31" s="43"/>
      <c r="L31" s="40"/>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row>
    <row r="32" spans="1:63" s="2" customFormat="1" ht="30" customHeight="1" thickBot="1" x14ac:dyDescent="0.3">
      <c r="A32" s="29"/>
      <c r="B32" s="54" t="s">
        <v>44</v>
      </c>
      <c r="C32" s="50"/>
      <c r="D32" s="51">
        <v>46091</v>
      </c>
      <c r="E32" s="51">
        <v>46093</v>
      </c>
      <c r="F32" s="14"/>
      <c r="G32" s="14"/>
      <c r="H32" s="26"/>
      <c r="I32" s="26"/>
      <c r="J32" s="38"/>
      <c r="K32" s="43"/>
      <c r="L32" s="40"/>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row>
    <row r="33" spans="2:6" ht="30" customHeight="1" x14ac:dyDescent="0.25">
      <c r="B33" s="64" t="s">
        <v>21</v>
      </c>
      <c r="F33" s="5"/>
    </row>
    <row r="34" spans="2:6" ht="30" customHeight="1" x14ac:dyDescent="0.3">
      <c r="E34" s="31"/>
    </row>
  </sheetData>
  <mergeCells count="11">
    <mergeCell ref="B2:D2"/>
    <mergeCell ref="B5:F5"/>
    <mergeCell ref="AJ4:AP4"/>
    <mergeCell ref="AQ4:AW4"/>
    <mergeCell ref="AX4:BD4"/>
    <mergeCell ref="BE4:BK4"/>
    <mergeCell ref="D3:E3"/>
    <mergeCell ref="H4:N4"/>
    <mergeCell ref="O4:U4"/>
    <mergeCell ref="V4:AB4"/>
    <mergeCell ref="AC4:AI4"/>
  </mergeCells>
  <conditionalFormatting sqref="C7:C3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32">
    <cfRule type="expression" dxfId="2" priority="33">
      <formula>AND(TODAY()&gt;=H$5,TODAY()&lt;I$5)</formula>
    </cfRule>
  </conditionalFormatting>
  <conditionalFormatting sqref="H7:BK32">
    <cfRule type="expression" dxfId="1" priority="27">
      <formula>AND(task_start&lt;=H$5,ROUNDDOWN((task_end-task_start+1)*task_progress,0)+task_start-1&gt;=H$5)</formula>
    </cfRule>
    <cfRule type="expression" dxfId="0" priority="28"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5"/>
  <sheetViews>
    <sheetView showGridLines="0" topLeftCell="A17" workbookViewId="0">
      <selection activeCell="D20" sqref="D20"/>
    </sheetView>
  </sheetViews>
  <sheetFormatPr defaultRowHeight="15" x14ac:dyDescent="0.25"/>
  <cols>
    <col min="2" max="2" width="18.42578125" customWidth="1"/>
    <col min="3" max="3" width="21.28515625" customWidth="1"/>
    <col min="4" max="4" width="60.42578125" customWidth="1"/>
  </cols>
  <sheetData>
    <row r="2" spans="2:4" ht="37.15" customHeight="1" x14ac:dyDescent="0.3">
      <c r="B2" s="74" t="s">
        <v>20</v>
      </c>
      <c r="C2" s="74"/>
    </row>
    <row r="4" spans="2:4" ht="14.45" x14ac:dyDescent="0.3">
      <c r="B4" s="7" t="s">
        <v>16</v>
      </c>
      <c r="C4" s="8" t="s">
        <v>15</v>
      </c>
      <c r="D4" s="8" t="s">
        <v>17</v>
      </c>
    </row>
    <row r="5" spans="2:4" ht="8.25" customHeight="1" x14ac:dyDescent="0.3"/>
    <row r="6" spans="2:4" ht="45" x14ac:dyDescent="0.25">
      <c r="B6" s="55" t="s">
        <v>27</v>
      </c>
      <c r="C6" s="56" t="s">
        <v>45</v>
      </c>
      <c r="D6" s="56" t="s">
        <v>51</v>
      </c>
    </row>
    <row r="7" spans="2:4" ht="45" x14ac:dyDescent="0.25">
      <c r="B7" s="55" t="s">
        <v>28</v>
      </c>
      <c r="C7" s="56" t="s">
        <v>46</v>
      </c>
      <c r="D7" s="56" t="s">
        <v>52</v>
      </c>
    </row>
    <row r="8" spans="2:4" ht="45" x14ac:dyDescent="0.25">
      <c r="B8" s="55" t="s">
        <v>29</v>
      </c>
      <c r="C8" s="56" t="s">
        <v>46</v>
      </c>
      <c r="D8" s="56" t="s">
        <v>53</v>
      </c>
    </row>
    <row r="9" spans="2:4" ht="60" x14ac:dyDescent="0.25">
      <c r="B9" s="55" t="s">
        <v>30</v>
      </c>
      <c r="C9" s="56" t="s">
        <v>46</v>
      </c>
      <c r="D9" s="56" t="s">
        <v>54</v>
      </c>
    </row>
    <row r="10" spans="2:4" ht="45" x14ac:dyDescent="0.25">
      <c r="B10" s="57" t="s">
        <v>31</v>
      </c>
      <c r="C10" s="58" t="s">
        <v>45</v>
      </c>
      <c r="D10" s="58" t="s">
        <v>55</v>
      </c>
    </row>
    <row r="11" spans="2:4" ht="60" x14ac:dyDescent="0.25">
      <c r="B11" s="57" t="s">
        <v>32</v>
      </c>
      <c r="C11" s="58" t="s">
        <v>47</v>
      </c>
      <c r="D11" s="58" t="s">
        <v>56</v>
      </c>
    </row>
    <row r="12" spans="2:4" ht="45" x14ac:dyDescent="0.25">
      <c r="B12" s="57" t="s">
        <v>33</v>
      </c>
      <c r="C12" s="58" t="s">
        <v>48</v>
      </c>
      <c r="D12" s="58" t="s">
        <v>57</v>
      </c>
    </row>
    <row r="13" spans="2:4" ht="45" x14ac:dyDescent="0.25">
      <c r="B13" s="57" t="s">
        <v>34</v>
      </c>
      <c r="C13" s="58" t="s">
        <v>45</v>
      </c>
      <c r="D13" s="58" t="s">
        <v>58</v>
      </c>
    </row>
    <row r="14" spans="2:4" ht="60" x14ac:dyDescent="0.25">
      <c r="B14" s="57" t="s">
        <v>35</v>
      </c>
      <c r="C14" s="58" t="s">
        <v>45</v>
      </c>
      <c r="D14" s="58" t="s">
        <v>59</v>
      </c>
    </row>
    <row r="15" spans="2:4" ht="60" x14ac:dyDescent="0.25">
      <c r="B15" s="59" t="s">
        <v>36</v>
      </c>
      <c r="C15" s="60" t="s">
        <v>45</v>
      </c>
      <c r="D15" s="60" t="s">
        <v>60</v>
      </c>
    </row>
    <row r="16" spans="2:4" ht="60" x14ac:dyDescent="0.25">
      <c r="B16" s="59" t="s">
        <v>37</v>
      </c>
      <c r="C16" s="60" t="s">
        <v>46</v>
      </c>
      <c r="D16" s="60" t="s">
        <v>61</v>
      </c>
    </row>
    <row r="17" spans="2:4" ht="75" x14ac:dyDescent="0.25">
      <c r="B17" s="59" t="s">
        <v>38</v>
      </c>
      <c r="C17" s="60" t="s">
        <v>49</v>
      </c>
      <c r="D17" s="60" t="s">
        <v>62</v>
      </c>
    </row>
    <row r="18" spans="2:4" ht="60" x14ac:dyDescent="0.25">
      <c r="B18" s="59" t="s">
        <v>39</v>
      </c>
      <c r="C18" s="60" t="s">
        <v>46</v>
      </c>
      <c r="D18" s="60" t="s">
        <v>63</v>
      </c>
    </row>
    <row r="19" spans="2:4" ht="45" x14ac:dyDescent="0.25">
      <c r="B19" s="59" t="s">
        <v>71</v>
      </c>
      <c r="C19" s="60" t="s">
        <v>73</v>
      </c>
      <c r="D19" s="60" t="s">
        <v>74</v>
      </c>
    </row>
    <row r="20" spans="2:4" ht="45" x14ac:dyDescent="0.25">
      <c r="B20" s="59" t="s">
        <v>72</v>
      </c>
      <c r="C20" s="60" t="s">
        <v>75</v>
      </c>
      <c r="D20" s="60" t="s">
        <v>76</v>
      </c>
    </row>
    <row r="21" spans="2:4" ht="75" x14ac:dyDescent="0.25">
      <c r="B21" s="61" t="s">
        <v>40</v>
      </c>
      <c r="C21" s="62" t="s">
        <v>50</v>
      </c>
      <c r="D21" s="62" t="s">
        <v>64</v>
      </c>
    </row>
    <row r="22" spans="2:4" ht="60" x14ac:dyDescent="0.25">
      <c r="B22" s="61" t="s">
        <v>41</v>
      </c>
      <c r="C22" s="62" t="s">
        <v>45</v>
      </c>
      <c r="D22" s="62" t="s">
        <v>65</v>
      </c>
    </row>
    <row r="23" spans="2:4" ht="60" x14ac:dyDescent="0.25">
      <c r="B23" s="61" t="s">
        <v>42</v>
      </c>
      <c r="C23" s="62" t="s">
        <v>46</v>
      </c>
      <c r="D23" s="62" t="s">
        <v>66</v>
      </c>
    </row>
    <row r="24" spans="2:4" ht="45" x14ac:dyDescent="0.25">
      <c r="B24" s="61" t="s">
        <v>43</v>
      </c>
      <c r="C24" s="62" t="s">
        <v>45</v>
      </c>
      <c r="D24" s="62" t="s">
        <v>67</v>
      </c>
    </row>
    <row r="25" spans="2:4" ht="45" x14ac:dyDescent="0.25">
      <c r="B25" s="61" t="s">
        <v>44</v>
      </c>
      <c r="C25" s="62" t="s">
        <v>45</v>
      </c>
      <c r="D25" s="62" t="s">
        <v>68</v>
      </c>
    </row>
  </sheetData>
  <mergeCells count="1">
    <mergeCell ref="B2:C2"/>
  </mergeCells>
  <conditionalFormatting sqref="C5:D25">
    <cfRule type="dataBar" priority="2">
      <dataBar>
        <cfvo type="num" val="0"/>
        <cfvo type="num" val="1"/>
        <color theme="0" tint="-0.249977111117893"/>
      </dataBar>
      <extLst>
        <ext xmlns:x14="http://schemas.microsoft.com/office/spreadsheetml/2009/9/main" uri="{B025F937-C7B1-47D3-B67F-A62EFF666E3E}">
          <x14:id>{77507B22-5C74-4483-B8ED-801801F9F4FC}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507B22-5C74-4483-B8ED-801801F9F4FC}">
            <x14:dataBar minLength="0" maxLength="100" gradient="0">
              <x14:cfvo type="num">
                <xm:f>0</xm:f>
              </x14:cfvo>
              <x14:cfvo type="num">
                <xm:f>1</xm:f>
              </x14:cfvo>
              <x14:negativeFillColor rgb="FFFF0000"/>
              <x14:axisColor rgb="FF000000"/>
            </x14:dataBar>
          </x14:cfRule>
          <xm:sqref>C5:D25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13" ma:contentTypeDescription="Create a new document." ma:contentTypeScope="" ma:versionID="97abb28671660b3923b59ef28914b0fa">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4e295b7a5f2f4e3b5edda2fb01eec268" ns2:_="" ns3:_="">
    <xsd:import namespace="ff8a4b2e-b0c8-4039-a689-d1a7f36f4382"/>
    <xsd:import namespace="f716dd8a-49a0-4c40-b209-038e1651b5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98C47B-2BB1-4086-9732-766F28EF03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0BC0B4-00BE-4BA5-B1E8-B7C12FF794A2}">
  <ds:schemaRefs>
    <ds:schemaRef ds:uri="http://schemas.microsoft.com/office/2006/metadata/properties"/>
    <ds:schemaRef ds:uri="http://purl.org/dc/terms/"/>
    <ds:schemaRef ds:uri="http://www.w3.org/XML/1998/namespace"/>
    <ds:schemaRef ds:uri="http://purl.org/dc/dcmitype/"/>
    <ds:schemaRef ds:uri="http://schemas.microsoft.com/office/2006/documentManagement/types"/>
    <ds:schemaRef ds:uri="ff8a4b2e-b0c8-4039-a689-d1a7f36f4382"/>
    <ds:schemaRef ds:uri="http://schemas.openxmlformats.org/package/2006/metadata/core-properties"/>
    <ds:schemaRef ds:uri="http://purl.org/dc/elements/1.1/"/>
    <ds:schemaRef ds:uri="http://schemas.microsoft.com/office/infopath/2007/PartnerControls"/>
    <ds:schemaRef ds:uri="f716dd8a-49a0-4c40-b209-038e1651b548"/>
  </ds:schemaRefs>
</ds:datastoreItem>
</file>

<file path=customXml/itemProps3.xml><?xml version="1.0" encoding="utf-8"?>
<ds:datastoreItem xmlns:ds="http://schemas.openxmlformats.org/officeDocument/2006/customXml" ds:itemID="{D82E4BCD-068C-41E7-AC7A-26AB2E4DD1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Resource Allocation</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CYB 420 Project Two Gantt Chart Template</dc:title>
  <dc:creator/>
  <dc:description/>
  <cp:lastModifiedBy/>
  <dcterms:created xsi:type="dcterms:W3CDTF">2019-03-19T17:17:03Z</dcterms:created>
  <dcterms:modified xsi:type="dcterms:W3CDTF">2025-12-12T08:25:02Z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2019-03-19T17:17:07.6273720Z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ae87efaf-4711-40ea-b5db-c90354dd2317</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y fmtid="{D5CDD505-2E9C-101B-9397-08002B2CF9AE}" pid="11" name="ContentTypeId">
    <vt:lpwstr>0x0101003FC679AA94041F4BA4494D199A3447AF</vt:lpwstr>
  </property>
  <property fmtid="{D5CDD505-2E9C-101B-9397-08002B2CF9AE}" pid="12" name="Order">
    <vt:r8>5549200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ies>
</file>