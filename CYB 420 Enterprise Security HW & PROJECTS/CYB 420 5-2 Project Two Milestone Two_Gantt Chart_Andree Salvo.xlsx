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codeName="ThisWorkbook"/>
  <xr:revisionPtr revIDLastSave="0" documentId="13_ncr:1_{E43C4076-ABA4-4D1F-B7C7-ABC739DC0EEB}" xr6:coauthVersionLast="47" xr6:coauthVersionMax="47" xr10:uidLastSave="{00000000-0000-0000-0000-000000000000}"/>
  <bookViews>
    <workbookView xWindow="-16320" yWindow="-5880" windowWidth="16440" windowHeight="28320" xr2:uid="{00000000-000D-0000-FFFF-FFFF00000000}"/>
  </bookViews>
  <sheets>
    <sheet name="Project Schedule" sheetId="11" r:id="rId1"/>
    <sheet name="Resource Allocation" sheetId="12" r:id="rId2"/>
  </sheets>
  <definedNames>
    <definedName name="Display_Week">'Project Schedule'!$D$4</definedName>
    <definedName name="_xlnm.Print_Titles" localSheetId="0">'Project Schedule'!$4:$6</definedName>
    <definedName name="Project_Start">'Project Schedule'!$D$3</definedName>
    <definedName name="task_end" localSheetId="0">'Project Schedule'!$E1</definedName>
    <definedName name="task_progress" localSheetId="0">'Project Schedule'!$C1</definedName>
    <definedName name="task_start" localSheetId="0">'Project Schedule'!$D1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1" l="1"/>
  <c r="G7" i="11"/>
  <c r="D3" i="11" l="1"/>
  <c r="H5" i="11" s="1"/>
  <c r="G22" i="11" l="1"/>
  <c r="H4" i="11"/>
  <c r="G21" i="11"/>
  <c r="G8" i="11"/>
  <c r="H6" i="11" l="1"/>
  <c r="G29" i="11" l="1"/>
  <c r="G9" i="11"/>
  <c r="G24" i="11"/>
  <c r="I5" i="11"/>
  <c r="J5" i="11" l="1"/>
  <c r="G11" i="11"/>
  <c r="G10" i="11"/>
  <c r="I6" i="11"/>
  <c r="K5" i="11" l="1"/>
  <c r="J6" i="11"/>
  <c r="L5" i="11" l="1"/>
  <c r="G19" i="11"/>
  <c r="K6" i="11"/>
  <c r="M5" i="11" l="1"/>
  <c r="L6" i="11"/>
  <c r="N5" i="11" l="1"/>
  <c r="M6" i="11"/>
  <c r="O5" i="11" l="1"/>
  <c r="O4" i="11" s="1"/>
  <c r="N6" i="11"/>
  <c r="P5" i="11" l="1"/>
  <c r="Q5" i="11" l="1"/>
  <c r="O6" i="11"/>
  <c r="P6" i="11"/>
  <c r="R5" i="11" l="1"/>
  <c r="Q6" i="11"/>
  <c r="S5" i="11" l="1"/>
  <c r="R6" i="11"/>
  <c r="T5" i="11" l="1"/>
  <c r="S6" i="11"/>
  <c r="U5" i="11" l="1"/>
  <c r="T6" i="11"/>
  <c r="V5" i="11" l="1"/>
  <c r="V4" i="11" s="1"/>
  <c r="U6" i="11"/>
  <c r="W5" i="11" l="1"/>
  <c r="V6" i="11"/>
  <c r="X5" i="11" l="1"/>
  <c r="W6" i="11"/>
  <c r="Y5" i="11" l="1"/>
  <c r="X6" i="11"/>
  <c r="Z5" i="11" l="1"/>
  <c r="Y6" i="11"/>
  <c r="AA5" i="11" l="1"/>
  <c r="Z6" i="11"/>
  <c r="AB5" i="11" l="1"/>
  <c r="AA6" i="11"/>
  <c r="AC5" i="11" l="1"/>
  <c r="AC4" i="11" s="1"/>
  <c r="AB6" i="11"/>
  <c r="AD5" i="11" l="1"/>
  <c r="AC6" i="11"/>
  <c r="AE5" i="11" l="1"/>
  <c r="AD6" i="11"/>
  <c r="AF5" i="11" l="1"/>
  <c r="AE6" i="11"/>
  <c r="AG5" i="11" l="1"/>
  <c r="AF6" i="11"/>
  <c r="AH5" i="11" l="1"/>
  <c r="AG6" i="11"/>
  <c r="AI5" i="11" l="1"/>
  <c r="AH6" i="11"/>
  <c r="AJ5" i="11" l="1"/>
  <c r="AJ4" i="11" s="1"/>
  <c r="AI6" i="11"/>
  <c r="AK5" i="11" l="1"/>
  <c r="AJ6" i="11"/>
  <c r="AL5" i="11" l="1"/>
  <c r="AK6" i="11"/>
  <c r="AM5" i="11" l="1"/>
  <c r="AL6" i="11"/>
  <c r="AN5" i="11" l="1"/>
  <c r="AM6" i="11"/>
  <c r="AO5" i="11" l="1"/>
  <c r="AN6" i="11"/>
  <c r="AP5" i="11" l="1"/>
  <c r="AO6" i="11"/>
  <c r="AQ5" i="11" l="1"/>
  <c r="AQ4" i="11" s="1"/>
  <c r="AP6" i="11"/>
  <c r="AR5" i="11" l="1"/>
  <c r="AQ6" i="11"/>
  <c r="AS5" i="11" l="1"/>
  <c r="AR6" i="11"/>
  <c r="AS6" i="11" l="1"/>
  <c r="AT5" i="11"/>
  <c r="AU5" i="11" l="1"/>
  <c r="AT6" i="11"/>
  <c r="AV5" i="11" l="1"/>
  <c r="AU6" i="11"/>
  <c r="AW5" i="11" l="1"/>
  <c r="AV6" i="11"/>
  <c r="AX5" i="11" l="1"/>
  <c r="AX4" i="11" s="1"/>
  <c r="AW6" i="11"/>
  <c r="AX6" i="11" l="1"/>
  <c r="AY5" i="11"/>
  <c r="AY6" i="11" l="1"/>
  <c r="AZ5" i="11"/>
  <c r="AZ6" i="11" l="1"/>
  <c r="BA5" i="11"/>
  <c r="BA6" i="11" l="1"/>
  <c r="BB5" i="11"/>
  <c r="BB6" i="11" l="1"/>
  <c r="BC5" i="11"/>
  <c r="BD5" i="11" l="1"/>
  <c r="BC6" i="11"/>
  <c r="BD6" i="11" l="1"/>
  <c r="BE5" i="11"/>
  <c r="BE4" i="11" s="1"/>
  <c r="BE6" i="11" l="1"/>
  <c r="BF5" i="11"/>
  <c r="BF6" i="11" l="1"/>
  <c r="BG5" i="11"/>
  <c r="BH5" i="11" l="1"/>
  <c r="BG6" i="11"/>
  <c r="BI5" i="11" l="1"/>
  <c r="BH6" i="11"/>
  <c r="BJ5" i="11" l="1"/>
  <c r="BI6" i="11"/>
  <c r="BK5" i="11" l="1"/>
  <c r="BJ6" i="11"/>
  <c r="BK6" i="11" l="1"/>
</calcChain>
</file>

<file path=xl/sharedStrings.xml><?xml version="1.0" encoding="utf-8"?>
<sst xmlns="http://schemas.openxmlformats.org/spreadsheetml/2006/main" count="95" uniqueCount="75">
  <si>
    <t>PROGRESS</t>
  </si>
  <si>
    <t>START</t>
  </si>
  <si>
    <t>END</t>
  </si>
  <si>
    <t>DAYS</t>
  </si>
  <si>
    <t>TASK</t>
  </si>
  <si>
    <t>Enter Company Name in cell B2.</t>
  </si>
  <si>
    <t xml:space="preserve">Do not delete this row. This row is hidden to preserve a formula that is used to highlight the curren day within the project schedule. </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</si>
  <si>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</si>
  <si>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</si>
  <si>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</si>
  <si>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</si>
  <si>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</si>
  <si>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</si>
  <si>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</si>
  <si>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</si>
  <si>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Resource</t>
  </si>
  <si>
    <t>Task</t>
  </si>
  <si>
    <t>Rationale</t>
  </si>
  <si>
    <t>Complete this template by replacing the bracketed text with the relevant information in each row. Also, in the relevant columns, be sure to enter start and end dates and experiment with entering progress percentages to create the Gantt chart bars.</t>
  </si>
  <si>
    <t>Project Two</t>
  </si>
  <si>
    <t>Complete this template by entering the relevant information in each row.</t>
  </si>
  <si>
    <t>Adapted from a template by TeamGantt (2019), https://www.teamgantt.com/</t>
  </si>
  <si>
    <t>Planning Phase</t>
  </si>
  <si>
    <t>Preparation Execution Phase</t>
  </si>
  <si>
    <t>Execution Phase</t>
  </si>
  <si>
    <t>Finalization Phase</t>
  </si>
  <si>
    <t>Create the official Authentication Policy</t>
  </si>
  <si>
    <t>Project Start Milestone</t>
  </si>
  <si>
    <t>Present official NIST Cybersecurity Framework (CSF)</t>
  </si>
  <si>
    <t>Acquire the type of 2FA and make a plan to deploy it</t>
  </si>
  <si>
    <t>Planning and Preparation Complete Milestone</t>
  </si>
  <si>
    <t>Identify and classify sensitive data</t>
  </si>
  <si>
    <t>Determine security levels for each category</t>
  </si>
  <si>
    <t>Initiant and develop response procedures for cyber threats</t>
  </si>
  <si>
    <t>Hire and instruct contractors on office security upgrades</t>
  </si>
  <si>
    <t>Update and finalize security documentation</t>
  </si>
  <si>
    <t>Enforce new password and authentication policies</t>
  </si>
  <si>
    <t>Deploy and verify two-factor authentication (2FA)</t>
  </si>
  <si>
    <t>Implement access control lists (ACLs) and VLAN configurations</t>
  </si>
  <si>
    <t>Monitor network traffic and verify control effectiveness</t>
  </si>
  <si>
    <t>Review implemented controls and conduct system audit</t>
  </si>
  <si>
    <t>Ensure all employees understand and use 2FA correctly</t>
  </si>
  <si>
    <t>Documenting lessons learned and finalize reports</t>
  </si>
  <si>
    <t>Deliver final project results and closeout</t>
  </si>
  <si>
    <t>Project scope and objectives</t>
  </si>
  <si>
    <t>Creating the offical Authentication Policy</t>
  </si>
  <si>
    <t xml:space="preserve">Identify and classify sensitive data </t>
  </si>
  <si>
    <t>Determining security levels for each data category</t>
  </si>
  <si>
    <t>Present NIST Cybersecurity Framework (CSF)</t>
  </si>
  <si>
    <t>Project Manager (me)</t>
  </si>
  <si>
    <t xml:space="preserve">Software Engineers </t>
  </si>
  <si>
    <t xml:space="preserve">Project Manager (me) &amp; Software Engineers </t>
  </si>
  <si>
    <t xml:space="preserve">Project Manager (me) &amp; Hardware Engineers </t>
  </si>
  <si>
    <t>Contractor &amp; Project Manager (me)</t>
  </si>
  <si>
    <t>Software Engineers &amp; Project Manager (me)</t>
  </si>
  <si>
    <t>Hardware Engineers</t>
  </si>
  <si>
    <t>Hardware &amp; Software Engineers</t>
  </si>
  <si>
    <t xml:space="preserve">Project Manager (me) </t>
  </si>
  <si>
    <t>I will be handling this part, as it’s my duty to plan the project, set goals, and ensure the timeline aligns with stakeholders' expectations.</t>
  </si>
  <si>
    <t>As a project manager, I’ll work with the software team to determine which data is most sensitive and requires the highest level of protection.</t>
  </si>
  <si>
    <t>I will coordinate the plan, while the hardware engineers ensure systems and devices are ready for any threat response.</t>
  </si>
  <si>
    <t>I will explain the NIST CSF to everyone involved so the whole team understands what standards we’re following correctly.</t>
  </si>
  <si>
    <t>Contractors will handle the physical security work, and I’ll make sure everything is done on time and correctly.</t>
  </si>
  <si>
    <t>Software engineers will test and set up the 2FA system to make sure it works and runs smoothly with existing accounts.</t>
  </si>
  <si>
    <t>I will further document everything so the project has a clear record of what was done and what needs to be maintained.</t>
  </si>
  <si>
    <t>Software engineers will roll out the new password rules and update systems for better security standards.</t>
  </si>
  <si>
    <t>The software engineers will set it up, and I’ll verify that it’s working correctly for all users.</t>
  </si>
  <si>
    <t>The hardware engineers handle network segmentation and access controls to securely separate departments.</t>
  </si>
  <si>
    <t>Hardware and software engineers will check network traffic and test that all new security controls are working as intended.</t>
  </si>
  <si>
    <t>I will go through everything with the software team to confirm all security measures are correctly in place and working.</t>
  </si>
  <si>
    <t>It is my duty and responsibility to train employees while stakeholders help reinforce the new security practices.</t>
  </si>
  <si>
    <t>I will wrap up the project by summarizing what worked well and what could be improved next time.</t>
  </si>
  <si>
    <t>My duty is to hand everything off to the stakeholders and officially close the project.</t>
  </si>
  <si>
    <t>The software engineers are responsible for setting up and securing the authentication policy and making sure it’s applied correctly.</t>
  </si>
  <si>
    <t>The software engineers will determine which access levels and permissions apply to each type of data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</si>
</sst>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15"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s>
  <fills count="14">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D8E4BC"/>
        <bgColor indexed="64"/>
      </patternFill>
    </fill>
    <fill>
      <patternFill patternType="solid">
        <fgColor rgb="FFCCC0DA"/>
        <bgColor indexed="64"/>
      </patternFill>
    </fill>
    <fill>
      <patternFill patternType="solid">
        <fgColor rgb="FFE4DFEC"/>
        <bgColor indexed="64"/>
      </patternFill>
    </fill>
  </fills>
  <borders count="19">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theme="0" tint="-0.34998626667073579"/>
      </left>
      <right/>
      <top/>
      <bottom style="medium">
        <color theme="0" tint="-0.14996795556505021"/>
      </bottom>
      <diagonal/>
    </border>
    <border>
      <left style="thin">
        <color theme="0" tint="-0.14993743705557422"/>
      </left>
      <right/>
      <top style="medium">
        <color theme="0" tint="-0.14996795556505021"/>
      </top>
      <bottom style="medium">
        <color theme="0" tint="-0.14996795556505021"/>
      </bottom>
      <diagonal/>
    </border>
    <border>
      <left/>
      <right style="thin">
        <color theme="0" tint="-0.34998626667073579"/>
      </right>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style="medium">
        <color theme="0" tint="-0.14993743705557422"/>
      </left>
      <right style="medium">
        <color theme="0" tint="-0.14993743705557422"/>
      </right>
      <top style="medium">
        <color theme="0" tint="-0.14993743705557422"/>
      </top>
      <bottom/>
      <diagonal/>
    </border>
    <border>
      <left style="medium">
        <color theme="0" tint="-0.14993743705557422"/>
      </left>
      <right style="medium">
        <color theme="0" tint="-0.14993743705557422"/>
      </right>
      <top/>
      <bottom style="medium">
        <color theme="0" tint="-0.14996795556505021"/>
      </bottom>
      <diagonal/>
    </border>
    <border>
      <left style="medium">
        <color theme="0" tint="-0.14993743705557422"/>
      </left>
      <right style="medium">
        <color theme="0" tint="-0.14993743705557422"/>
      </right>
      <top style="medium">
        <color theme="0" tint="-0.14996795556505021"/>
      </top>
      <bottom style="medium">
        <color theme="0" tint="-0.14996795556505021"/>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3">
    <xf numFmtId="0" fontId="0" fillId="0" borderId="0"/>
    <xf numFmtId="0" fontId="2" fillId="0" borderId="0" applyNumberFormat="0" applyFill="0" applyBorder="0" applyAlignment="0" applyProtection="0">
      <alignment vertical="top"/>
      <protection locked="0"/>
    </xf>
    <xf numFmtId="9" fontId="6" fillId="0" borderId="0" applyFont="0" applyFill="0" applyBorder="0" applyAlignment="0" applyProtection="0"/>
    <xf numFmtId="0" fontId="13" fillId="0" borderId="0"/>
    <xf numFmtId="43" fontId="6" fillId="0" borderId="3" applyFont="0" applyFill="0" applyAlignment="0" applyProtection="0"/>
    <xf numFmtId="0" fontId="10" fillId="0" borderId="0" applyNumberFormat="0" applyFill="0" applyBorder="0" applyAlignment="0" applyProtection="0"/>
    <xf numFmtId="0" fontId="7" fillId="0" borderId="0" applyNumberFormat="0" applyFill="0" applyAlignment="0" applyProtection="0"/>
    <xf numFmtId="0" fontId="7" fillId="0" borderId="0" applyNumberFormat="0" applyFill="0" applyProtection="0">
      <alignment vertical="top"/>
    </xf>
    <xf numFmtId="0" fontId="6" fillId="0" borderId="0" applyNumberFormat="0" applyFill="0" applyProtection="0">
      <alignment horizontal="right" indent="1"/>
    </xf>
    <xf numFmtId="165" fontId="6" fillId="0" borderId="3">
      <alignment horizontal="center" vertical="center"/>
    </xf>
    <xf numFmtId="164" fontId="6" fillId="0" borderId="2" applyFill="0">
      <alignment horizontal="center" vertical="center"/>
    </xf>
    <xf numFmtId="0" fontId="6" fillId="0" borderId="2" applyFill="0">
      <alignment horizontal="center" vertical="center"/>
    </xf>
    <xf numFmtId="0" fontId="6" fillId="0" borderId="2" applyFill="0">
      <alignment horizontal="left" vertical="center" indent="2"/>
    </xf>
  </cellStyleXfs>
  <cellXfs count="80">
    <xf numFmtId="0" fontId="0" fillId="0" borderId="0" xfId="0"/>
    <xf numFmtId="0" fontId="1" fillId="0" borderId="0" xfId="0" applyFont="1"/>
    <xf numFmtId="0" fontId="0" fillId="0" borderId="0" xfId="0" applyAlignment="1">
      <alignment vertical="center"/>
    </xf>
    <xf numFmtId="0" fontId="1"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5" fillId="10" borderId="1" xfId="0" applyFont="1" applyFill="1" applyBorder="1" applyAlignment="1">
      <alignment horizontal="left" vertical="center" indent="1"/>
    </xf>
    <xf numFmtId="0" fontId="5" fillId="10" borderId="1" xfId="0" applyFont="1" applyFill="1" applyBorder="1" applyAlignment="1">
      <alignment horizontal="center" vertical="center" wrapText="1"/>
    </xf>
    <xf numFmtId="167" fontId="8" fillId="4" borderId="0" xfId="0" applyNumberFormat="1" applyFont="1" applyFill="1" applyAlignment="1">
      <alignment horizontal="center" vertical="center"/>
    </xf>
    <xf numFmtId="167" fontId="8" fillId="4" borderId="6" xfId="0" applyNumberFormat="1" applyFont="1" applyFill="1" applyBorder="1" applyAlignment="1">
      <alignment horizontal="center" vertical="center"/>
    </xf>
    <xf numFmtId="167" fontId="8" fillId="4" borderId="7" xfId="0" applyNumberFormat="1" applyFont="1" applyFill="1" applyBorder="1" applyAlignment="1">
      <alignment horizontal="center" vertical="center"/>
    </xf>
    <xf numFmtId="0" fontId="9" fillId="9" borderId="8" xfId="0" applyFont="1" applyFill="1" applyBorder="1" applyAlignment="1">
      <alignment horizontal="center" vertical="center" shrinkToFit="1"/>
    </xf>
    <xf numFmtId="0" fontId="11" fillId="0" borderId="0" xfId="0" applyFont="1"/>
    <xf numFmtId="0" fontId="3" fillId="0" borderId="2" xfId="0" applyFont="1" applyBorder="1" applyAlignment="1">
      <alignment horizontal="center" vertical="center"/>
    </xf>
    <xf numFmtId="0" fontId="4" fillId="5" borderId="2" xfId="0" applyFont="1" applyFill="1" applyBorder="1" applyAlignment="1">
      <alignment horizontal="left" vertical="center" indent="1"/>
    </xf>
    <xf numFmtId="9" fontId="3"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3" fillId="5" borderId="2" xfId="0" applyNumberFormat="1" applyFont="1" applyFill="1" applyBorder="1" applyAlignment="1">
      <alignment horizontal="center" vertical="center"/>
    </xf>
    <xf numFmtId="9" fontId="3" fillId="2" borderId="2" xfId="2" applyFont="1" applyFill="1" applyBorder="1" applyAlignment="1">
      <alignment horizontal="center" vertical="center"/>
    </xf>
    <xf numFmtId="0" fontId="4" fillId="6" borderId="2" xfId="0" applyFont="1" applyFill="1" applyBorder="1" applyAlignment="1">
      <alignment horizontal="left" vertical="center" indent="1"/>
    </xf>
    <xf numFmtId="9" fontId="3"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3" fillId="6" borderId="2" xfId="0" applyNumberFormat="1" applyFont="1" applyFill="1" applyBorder="1" applyAlignment="1">
      <alignment horizontal="center" vertical="center"/>
    </xf>
    <xf numFmtId="9" fontId="3" fillId="3" borderId="2" xfId="2" applyFont="1" applyFill="1" applyBorder="1" applyAlignment="1">
      <alignment horizontal="center" vertical="center"/>
    </xf>
    <xf numFmtId="9" fontId="3" fillId="8" borderId="2" xfId="2" applyFont="1" applyFill="1" applyBorder="1" applyAlignment="1">
      <alignment horizontal="center" vertical="center"/>
    </xf>
    <xf numFmtId="9" fontId="3" fillId="7"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1" fillId="0" borderId="0" xfId="0" applyFont="1" applyAlignment="1">
      <alignment horizontal="center" vertical="center"/>
    </xf>
    <xf numFmtId="0" fontId="13" fillId="0" borderId="0" xfId="3"/>
    <xf numFmtId="0" fontId="13" fillId="0" borderId="0" xfId="3" applyAlignment="1">
      <alignment wrapText="1"/>
    </xf>
    <xf numFmtId="0" fontId="13" fillId="0" borderId="0" xfId="0" applyFont="1" applyAlignment="1">
      <alignment horizontal="center"/>
    </xf>
    <xf numFmtId="0" fontId="12" fillId="0" borderId="0" xfId="1" applyFont="1" applyProtection="1">
      <alignment vertical="top"/>
    </xf>
    <xf numFmtId="0" fontId="10" fillId="0" borderId="0" xfId="5" applyAlignment="1">
      <alignment horizontal="left"/>
    </xf>
    <xf numFmtId="164" fontId="6" fillId="2" borderId="2" xfId="10" applyFill="1">
      <alignment horizontal="center" vertical="center"/>
    </xf>
    <xf numFmtId="164" fontId="6" fillId="3" borderId="2" xfId="10" applyFill="1">
      <alignment horizontal="center" vertical="center"/>
    </xf>
    <xf numFmtId="0" fontId="6" fillId="0" borderId="7" xfId="8" applyBorder="1">
      <alignment horizontal="right" indent="1"/>
    </xf>
    <xf numFmtId="0" fontId="9" fillId="9" borderId="11" xfId="0" applyFont="1" applyFill="1" applyBorder="1" applyAlignment="1">
      <alignment horizontal="center" vertical="center" shrinkToFit="1"/>
    </xf>
    <xf numFmtId="0" fontId="0" fillId="0" borderId="12" xfId="0" applyBorder="1" applyAlignment="1">
      <alignment vertical="center"/>
    </xf>
    <xf numFmtId="0" fontId="9" fillId="9" borderId="13" xfId="0" applyFont="1" applyFill="1" applyBorder="1" applyAlignment="1">
      <alignment horizontal="center" vertical="center" shrinkToFit="1"/>
    </xf>
    <xf numFmtId="0" fontId="0" fillId="0" borderId="14" xfId="0" applyBorder="1" applyAlignment="1">
      <alignment vertical="center"/>
    </xf>
    <xf numFmtId="167" fontId="8" fillId="4" borderId="15" xfId="0" applyNumberFormat="1" applyFont="1" applyFill="1" applyBorder="1" applyAlignment="1">
      <alignment horizontal="center" vertical="center"/>
    </xf>
    <xf numFmtId="0" fontId="9" fillId="9" borderId="16" xfId="0" applyFont="1" applyFill="1" applyBorder="1" applyAlignment="1">
      <alignment horizontal="center" vertical="center" shrinkToFit="1"/>
    </xf>
    <xf numFmtId="0" fontId="0" fillId="0" borderId="17" xfId="0" applyBorder="1" applyAlignment="1">
      <alignment vertical="center"/>
    </xf>
    <xf numFmtId="0" fontId="0" fillId="2" borderId="2" xfId="12" applyFont="1" applyFill="1">
      <alignment horizontal="left" vertical="center" indent="2"/>
    </xf>
    <xf numFmtId="0" fontId="0" fillId="3" borderId="2" xfId="12" applyFont="1" applyFill="1">
      <alignment horizontal="left" vertical="center" indent="2"/>
    </xf>
    <xf numFmtId="164" fontId="0" fillId="7" borderId="2" xfId="10" applyFont="1" applyFill="1">
      <alignment horizontal="center" vertical="center"/>
    </xf>
    <xf numFmtId="9" fontId="3" fillId="11" borderId="2" xfId="2" applyFont="1" applyFill="1" applyBorder="1" applyAlignment="1">
      <alignment horizontal="center" vertical="center"/>
    </xf>
    <xf numFmtId="164" fontId="6" fillId="11" borderId="2" xfId="10" applyFill="1">
      <alignment horizontal="center" vertical="center"/>
    </xf>
    <xf numFmtId="9" fontId="3" fillId="12" borderId="2" xfId="2" applyFont="1" applyFill="1" applyBorder="1" applyAlignment="1">
      <alignment horizontal="center" vertical="center"/>
    </xf>
    <xf numFmtId="164" fontId="6" fillId="12" borderId="2" xfId="10" applyFill="1">
      <alignment horizontal="center" vertical="center"/>
    </xf>
    <xf numFmtId="0" fontId="0" fillId="13" borderId="2" xfId="12" applyFont="1" applyFill="1">
      <alignment horizontal="left" vertical="center" indent="2"/>
    </xf>
    <xf numFmtId="9" fontId="3" fillId="13" borderId="2" xfId="2" applyFont="1" applyFill="1" applyBorder="1" applyAlignment="1">
      <alignment horizontal="center" vertical="center"/>
    </xf>
    <xf numFmtId="164" fontId="6" fillId="13" borderId="2" xfId="10" applyFill="1">
      <alignment horizontal="center" vertical="center"/>
    </xf>
    <xf numFmtId="0" fontId="3" fillId="8" borderId="2" xfId="12" applyFont="1" applyFill="1">
      <alignment horizontal="left" vertical="center" indent="2"/>
    </xf>
    <xf numFmtId="164" fontId="3" fillId="8" borderId="2" xfId="10" applyFont="1" applyFill="1">
      <alignment horizontal="center" vertical="center"/>
    </xf>
    <xf numFmtId="0" fontId="3" fillId="13" borderId="2" xfId="12" applyFont="1" applyFill="1">
      <alignment horizontal="left" vertical="center" indent="2"/>
    </xf>
    <xf numFmtId="0" fontId="0" fillId="2" borderId="18" xfId="12" applyFont="1" applyFill="1" applyBorder="1" applyAlignment="1">
      <alignment horizontal="left" vertical="center" wrapText="1"/>
    </xf>
    <xf numFmtId="9" fontId="3" fillId="2" borderId="18" xfId="2" applyFont="1" applyFill="1" applyBorder="1" applyAlignment="1">
      <alignment horizontal="center" vertical="center" wrapText="1"/>
    </xf>
    <xf numFmtId="0" fontId="0" fillId="3" borderId="18" xfId="12" applyFont="1" applyFill="1" applyBorder="1" applyAlignment="1">
      <alignment horizontal="left" vertical="center" wrapText="1"/>
    </xf>
    <xf numFmtId="9" fontId="3" fillId="3" borderId="18" xfId="2" applyFont="1" applyFill="1" applyBorder="1" applyAlignment="1">
      <alignment horizontal="center" vertical="center" wrapText="1"/>
    </xf>
    <xf numFmtId="0" fontId="0" fillId="8" borderId="18" xfId="12" applyFont="1" applyFill="1" applyBorder="1" applyAlignment="1">
      <alignment horizontal="left" vertical="center" wrapText="1"/>
    </xf>
    <xf numFmtId="9" fontId="3" fillId="8" borderId="18" xfId="2" applyFont="1" applyFill="1" applyBorder="1" applyAlignment="1">
      <alignment horizontal="center" vertical="center" wrapText="1"/>
    </xf>
    <xf numFmtId="0" fontId="0" fillId="7" borderId="18" xfId="12" applyFont="1" applyFill="1" applyBorder="1" applyAlignment="1">
      <alignment horizontal="left" vertical="center" wrapText="1"/>
    </xf>
    <xf numFmtId="9" fontId="3" fillId="7" borderId="18" xfId="2" applyFont="1" applyFill="1" applyBorder="1" applyAlignment="1">
      <alignment horizontal="center" vertical="center" wrapText="1"/>
    </xf>
    <xf numFmtId="0" fontId="0" fillId="0" borderId="0" xfId="7" applyFont="1" applyAlignment="1">
      <alignment vertical="top" wrapText="1"/>
    </xf>
    <xf numFmtId="0" fontId="0" fillId="0" borderId="0" xfId="0" applyAlignment="1">
      <alignment wrapText="1"/>
    </xf>
    <xf numFmtId="0" fontId="4" fillId="11" borderId="2" xfId="12" applyFont="1" applyFill="1" applyAlignment="1">
      <alignment horizontal="left" vertical="center" indent="1"/>
    </xf>
    <xf numFmtId="0" fontId="14" fillId="12" borderId="2" xfId="12" applyFont="1" applyFill="1" applyAlignment="1">
      <alignment horizontal="left" vertical="center" indent="1"/>
    </xf>
    <xf numFmtId="0" fontId="0" fillId="7" borderId="0" xfId="12" applyFont="1" applyFill="1" applyBorder="1" applyAlignment="1">
      <alignment horizontal="left" vertical="center" wrapText="1"/>
    </xf>
    <xf numFmtId="9" fontId="3" fillId="7" borderId="0" xfId="2" applyFont="1" applyFill="1" applyBorder="1" applyAlignment="1">
      <alignment horizontal="center" vertical="center" wrapText="1"/>
    </xf>
    <xf numFmtId="0" fontId="0" fillId="0" borderId="0" xfId="6" applyFont="1" applyAlignment="1">
      <alignment wrapText="1"/>
    </xf>
    <xf numFmtId="0" fontId="6" fillId="0" borderId="0" xfId="6" applyFont="1" applyAlignment="1">
      <alignment wrapText="1"/>
    </xf>
    <xf numFmtId="0" fontId="0" fillId="0" borderId="10" xfId="0" applyBorder="1"/>
    <xf numFmtId="166" fontId="0" fillId="4" borderId="4" xfId="0" applyNumberFormat="1" applyFill="1" applyBorder="1" applyAlignment="1">
      <alignment horizontal="left" vertical="center" wrapText="1" indent="1"/>
    </xf>
    <xf numFmtId="166" fontId="0" fillId="4" borderId="1" xfId="0" applyNumberFormat="1" applyFill="1" applyBorder="1" applyAlignment="1">
      <alignment horizontal="left" vertical="center" wrapText="1" indent="1"/>
    </xf>
    <xf numFmtId="166" fontId="0" fillId="4" borderId="5" xfId="0" applyNumberFormat="1" applyFill="1" applyBorder="1" applyAlignment="1">
      <alignment horizontal="left" vertical="center" wrapText="1" indent="1"/>
    </xf>
    <xf numFmtId="165" fontId="6" fillId="0" borderId="3" xfId="9">
      <alignment horizontal="center" vertical="center"/>
    </xf>
    <xf numFmtId="0" fontId="0" fillId="0" borderId="0" xfId="0" applyAlignment="1">
      <alignment vertical="top" wrapText="1"/>
    </xf>
  </cellXfs>
  <cellStyles count="13">
    <cellStyle name="Comma" xfId="4" builtinId="3" customBuiltin="1"/>
    <cellStyle name="Date" xfId="10" xr:uid="{00000000-0005-0000-0000-000001000000}"/>
    <cellStyle name="Heading 1" xfId="6" builtinId="16" customBuiltin="1"/>
    <cellStyle name="Heading 2" xfId="7" builtinId="17" customBuiltin="1"/>
    <cellStyle name="Heading 3" xfId="8" builtinId="18" customBuiltin="1"/>
    <cellStyle name="Hyperlink" xfId="1" builtinId="8" customBuiltin="1"/>
    <cellStyle name="Name" xfId="11" xr:uid="{00000000-0005-0000-0000-000006000000}"/>
    <cellStyle name="Normal" xfId="0" builtinId="0"/>
    <cellStyle name="Percent" xfId="2" builtinId="5"/>
    <cellStyle name="Project Start" xfId="9" xr:uid="{00000000-0005-0000-0000-000009000000}"/>
    <cellStyle name="Task" xfId="12" xr:uid="{00000000-0005-0000-0000-00000A000000}"/>
    <cellStyle name="Title" xfId="5" builtinId="15" customBuiltin="1"/>
    <cellStyle name="zHiddenText" xfId="3" xr:uid="{00000000-0005-0000-0000-00000C000000}"/>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E4DFEC"/>
      <color rgb="FFCCC0DA"/>
      <color rgb="FFD8E4BC"/>
      <color rgb="FF215881"/>
      <color rgb="FF42648A"/>
      <color rgb="FF969696"/>
      <color rgb="FFC0C0C0"/>
      <color rgb="FF427FC2"/>
      <color rgb="FF44678E"/>
      <color rgb="FF4A6F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31"/>
  <sheetViews>
    <sheetView showGridLines="0" tabSelected="1" showRuler="0" zoomScale="64" zoomScaleNormal="64" zoomScalePageLayoutView="70" workbookViewId="0">
      <pane ySplit="6" topLeftCell="A11" activePane="bottomLeft" state="frozen"/>
      <selection pane="bottomLeft" activeCell="AS12" sqref="AS12"/>
    </sheetView>
  </sheetViews>
  <sheetFormatPr defaultRowHeight="30" customHeight="1" x14ac:dyDescent="0.25"/>
  <cols>
    <col min="1" max="1" width="2.7109375" style="30" customWidth="1"/>
    <col min="2" max="2" width="47.28515625" customWidth="1"/>
    <col min="3" max="3" width="10.7109375" customWidth="1"/>
    <col min="4" max="4" width="10.42578125" style="4" customWidth="1"/>
    <col min="5" max="5" width="10.42578125" customWidth="1"/>
    <col min="6" max="6" width="2.7109375" customWidth="1"/>
    <col min="7" max="7" width="6.140625" hidden="1" customWidth="1"/>
    <col min="8" max="63" width="2.5703125" customWidth="1"/>
    <col min="68" max="69" width="10.28515625"/>
  </cols>
  <sheetData>
    <row r="1" spans="1:63" ht="30" customHeight="1" x14ac:dyDescent="0.55000000000000004">
      <c r="A1" s="31" t="s">
        <v>7</v>
      </c>
      <c r="B1" s="34" t="s">
        <v>19</v>
      </c>
      <c r="C1" s="1"/>
      <c r="D1" s="3"/>
      <c r="E1" s="29"/>
      <c r="G1" s="1"/>
      <c r="H1" s="13"/>
    </row>
    <row r="2" spans="1:63" ht="76.150000000000006" customHeight="1" x14ac:dyDescent="0.3">
      <c r="A2" s="30" t="s">
        <v>5</v>
      </c>
      <c r="B2" s="72" t="s">
        <v>18</v>
      </c>
      <c r="C2" s="73"/>
      <c r="D2" s="73"/>
      <c r="H2" s="33"/>
    </row>
    <row r="3" spans="1:63" ht="30" customHeight="1" x14ac:dyDescent="0.25">
      <c r="A3" s="30" t="s">
        <v>8</v>
      </c>
      <c r="B3" s="66"/>
      <c r="C3" s="37"/>
      <c r="D3" s="78">
        <f ca="1">TODAY()</f>
        <v>45974</v>
      </c>
      <c r="E3" s="78"/>
    </row>
    <row r="4" spans="1:63" ht="30" customHeight="1" thickBot="1" x14ac:dyDescent="0.3">
      <c r="A4" s="31" t="s">
        <v>9</v>
      </c>
      <c r="C4" s="37"/>
      <c r="D4" s="6">
        <v>1</v>
      </c>
      <c r="H4" s="75">
        <f ca="1">H5</f>
        <v>45971</v>
      </c>
      <c r="I4" s="76"/>
      <c r="J4" s="76"/>
      <c r="K4" s="76"/>
      <c r="L4" s="76"/>
      <c r="M4" s="76"/>
      <c r="N4" s="77"/>
      <c r="O4" s="75">
        <f t="shared" ref="O4" ca="1" si="0">O5</f>
        <v>45978</v>
      </c>
      <c r="P4" s="76"/>
      <c r="Q4" s="76"/>
      <c r="R4" s="76"/>
      <c r="S4" s="76"/>
      <c r="T4" s="76"/>
      <c r="U4" s="77"/>
      <c r="V4" s="75">
        <f t="shared" ref="V4" ca="1" si="1">V5</f>
        <v>45985</v>
      </c>
      <c r="W4" s="76"/>
      <c r="X4" s="76"/>
      <c r="Y4" s="76"/>
      <c r="Z4" s="76"/>
      <c r="AA4" s="76"/>
      <c r="AB4" s="77"/>
      <c r="AC4" s="75">
        <f t="shared" ref="AC4" ca="1" si="2">AC5</f>
        <v>45992</v>
      </c>
      <c r="AD4" s="76"/>
      <c r="AE4" s="76"/>
      <c r="AF4" s="76"/>
      <c r="AG4" s="76"/>
      <c r="AH4" s="76"/>
      <c r="AI4" s="77"/>
      <c r="AJ4" s="75">
        <f t="shared" ref="AJ4" ca="1" si="3">AJ5</f>
        <v>45999</v>
      </c>
      <c r="AK4" s="76"/>
      <c r="AL4" s="76"/>
      <c r="AM4" s="76"/>
      <c r="AN4" s="76"/>
      <c r="AO4" s="76"/>
      <c r="AP4" s="77"/>
      <c r="AQ4" s="75">
        <f t="shared" ref="AQ4" ca="1" si="4">AQ5</f>
        <v>46006</v>
      </c>
      <c r="AR4" s="76"/>
      <c r="AS4" s="76"/>
      <c r="AT4" s="76"/>
      <c r="AU4" s="76"/>
      <c r="AV4" s="76"/>
      <c r="AW4" s="77"/>
      <c r="AX4" s="75">
        <f t="shared" ref="AX4" ca="1" si="5">AX5</f>
        <v>46013</v>
      </c>
      <c r="AY4" s="76"/>
      <c r="AZ4" s="76"/>
      <c r="BA4" s="76"/>
      <c r="BB4" s="76"/>
      <c r="BC4" s="76"/>
      <c r="BD4" s="77"/>
      <c r="BE4" s="75">
        <f ca="1">BE5</f>
        <v>46020</v>
      </c>
      <c r="BF4" s="76"/>
      <c r="BG4" s="76"/>
      <c r="BH4" s="76"/>
      <c r="BI4" s="76"/>
      <c r="BJ4" s="76"/>
      <c r="BK4" s="77"/>
    </row>
    <row r="5" spans="1:63" ht="15" customHeight="1" x14ac:dyDescent="0.25">
      <c r="A5" s="31" t="s">
        <v>10</v>
      </c>
      <c r="B5" s="74"/>
      <c r="C5" s="74"/>
      <c r="D5" s="74"/>
      <c r="E5" s="74"/>
      <c r="F5" s="74"/>
      <c r="H5" s="10">
        <f ca="1">Project_Start-WEEKDAY(Project_Start,1)+2+7*(Display_Week-1)</f>
        <v>45971</v>
      </c>
      <c r="I5" s="9">
        <f ca="1">H5+1</f>
        <v>45972</v>
      </c>
      <c r="J5" s="9">
        <f t="shared" ref="J5:AW5" ca="1" si="6">I5+1</f>
        <v>45973</v>
      </c>
      <c r="K5" s="42">
        <f t="shared" ca="1" si="6"/>
        <v>45974</v>
      </c>
      <c r="L5" s="9">
        <f t="shared" ca="1" si="6"/>
        <v>45975</v>
      </c>
      <c r="M5" s="9">
        <f t="shared" ca="1" si="6"/>
        <v>45976</v>
      </c>
      <c r="N5" s="11">
        <f t="shared" ca="1" si="6"/>
        <v>45977</v>
      </c>
      <c r="O5" s="10">
        <f ca="1">N5+1</f>
        <v>45978</v>
      </c>
      <c r="P5" s="9">
        <f ca="1">O5+1</f>
        <v>45979</v>
      </c>
      <c r="Q5" s="9">
        <f t="shared" ca="1" si="6"/>
        <v>45980</v>
      </c>
      <c r="R5" s="9">
        <f t="shared" ca="1" si="6"/>
        <v>45981</v>
      </c>
      <c r="S5" s="9">
        <f t="shared" ca="1" si="6"/>
        <v>45982</v>
      </c>
      <c r="T5" s="9">
        <f t="shared" ca="1" si="6"/>
        <v>45983</v>
      </c>
      <c r="U5" s="11">
        <f t="shared" ca="1" si="6"/>
        <v>45984</v>
      </c>
      <c r="V5" s="10">
        <f ca="1">U5+1</f>
        <v>45985</v>
      </c>
      <c r="W5" s="9">
        <f ca="1">V5+1</f>
        <v>45986</v>
      </c>
      <c r="X5" s="9">
        <f t="shared" ca="1" si="6"/>
        <v>45987</v>
      </c>
      <c r="Y5" s="9">
        <f t="shared" ca="1" si="6"/>
        <v>45988</v>
      </c>
      <c r="Z5" s="9">
        <f t="shared" ca="1" si="6"/>
        <v>45989</v>
      </c>
      <c r="AA5" s="9">
        <f t="shared" ca="1" si="6"/>
        <v>45990</v>
      </c>
      <c r="AB5" s="11">
        <f t="shared" ca="1" si="6"/>
        <v>45991</v>
      </c>
      <c r="AC5" s="10">
        <f ca="1">AB5+1</f>
        <v>45992</v>
      </c>
      <c r="AD5" s="9">
        <f ca="1">AC5+1</f>
        <v>45993</v>
      </c>
      <c r="AE5" s="9">
        <f t="shared" ca="1" si="6"/>
        <v>45994</v>
      </c>
      <c r="AF5" s="9">
        <f t="shared" ca="1" si="6"/>
        <v>45995</v>
      </c>
      <c r="AG5" s="9">
        <f t="shared" ca="1" si="6"/>
        <v>45996</v>
      </c>
      <c r="AH5" s="9">
        <f t="shared" ca="1" si="6"/>
        <v>45997</v>
      </c>
      <c r="AI5" s="11">
        <f t="shared" ca="1" si="6"/>
        <v>45998</v>
      </c>
      <c r="AJ5" s="10">
        <f ca="1">AI5+1</f>
        <v>45999</v>
      </c>
      <c r="AK5" s="9">
        <f ca="1">AJ5+1</f>
        <v>46000</v>
      </c>
      <c r="AL5" s="9">
        <f t="shared" ca="1" si="6"/>
        <v>46001</v>
      </c>
      <c r="AM5" s="9">
        <f t="shared" ca="1" si="6"/>
        <v>46002</v>
      </c>
      <c r="AN5" s="9">
        <f t="shared" ca="1" si="6"/>
        <v>46003</v>
      </c>
      <c r="AO5" s="9">
        <f t="shared" ca="1" si="6"/>
        <v>46004</v>
      </c>
      <c r="AP5" s="11">
        <f t="shared" ca="1" si="6"/>
        <v>46005</v>
      </c>
      <c r="AQ5" s="10">
        <f ca="1">AP5+1</f>
        <v>46006</v>
      </c>
      <c r="AR5" s="9">
        <f ca="1">AQ5+1</f>
        <v>46007</v>
      </c>
      <c r="AS5" s="9">
        <f t="shared" ca="1" si="6"/>
        <v>46008</v>
      </c>
      <c r="AT5" s="9">
        <f t="shared" ca="1" si="6"/>
        <v>46009</v>
      </c>
      <c r="AU5" s="9">
        <f t="shared" ca="1" si="6"/>
        <v>46010</v>
      </c>
      <c r="AV5" s="9">
        <f t="shared" ca="1" si="6"/>
        <v>46011</v>
      </c>
      <c r="AW5" s="11">
        <f t="shared" ca="1" si="6"/>
        <v>46012</v>
      </c>
      <c r="AX5" s="10">
        <f ca="1">AW5+1</f>
        <v>46013</v>
      </c>
      <c r="AY5" s="9">
        <f ca="1">AX5+1</f>
        <v>46014</v>
      </c>
      <c r="AZ5" s="9">
        <f t="shared" ref="AZ5:BD5" ca="1" si="7">AY5+1</f>
        <v>46015</v>
      </c>
      <c r="BA5" s="9">
        <f t="shared" ca="1" si="7"/>
        <v>46016</v>
      </c>
      <c r="BB5" s="9">
        <f t="shared" ca="1" si="7"/>
        <v>46017</v>
      </c>
      <c r="BC5" s="9">
        <f t="shared" ca="1" si="7"/>
        <v>46018</v>
      </c>
      <c r="BD5" s="11">
        <f t="shared" ca="1" si="7"/>
        <v>46019</v>
      </c>
      <c r="BE5" s="10">
        <f ca="1">BD5+1</f>
        <v>46020</v>
      </c>
      <c r="BF5" s="9">
        <f ca="1">BE5+1</f>
        <v>46021</v>
      </c>
      <c r="BG5" s="9">
        <f t="shared" ref="BG5:BK5" ca="1" si="8">BF5+1</f>
        <v>46022</v>
      </c>
      <c r="BH5" s="9">
        <f t="shared" ca="1" si="8"/>
        <v>46023</v>
      </c>
      <c r="BI5" s="9">
        <f t="shared" ca="1" si="8"/>
        <v>46024</v>
      </c>
      <c r="BJ5" s="9">
        <f t="shared" ca="1" si="8"/>
        <v>46025</v>
      </c>
      <c r="BK5" s="11">
        <f t="shared" ca="1" si="8"/>
        <v>46026</v>
      </c>
    </row>
    <row r="6" spans="1:63" ht="30" customHeight="1" thickBot="1" x14ac:dyDescent="0.35">
      <c r="A6" s="31" t="s">
        <v>11</v>
      </c>
      <c r="B6" s="7" t="s">
        <v>4</v>
      </c>
      <c r="C6" s="8" t="s">
        <v>0</v>
      </c>
      <c r="D6" s="8" t="s">
        <v>1</v>
      </c>
      <c r="E6" s="8" t="s">
        <v>2</v>
      </c>
      <c r="F6" s="8"/>
      <c r="G6" s="8" t="s">
        <v>3</v>
      </c>
      <c r="H6" s="12" t="str">
        <f t="shared" ref="H6" ca="1" si="9">LEFT(TEXT(H5,"ddd"),1)</f>
        <v>M</v>
      </c>
      <c r="I6" s="12" t="str">
        <f t="shared" ref="I6:AQ6" ca="1" si="10">LEFT(TEXT(I5,"ddd"),1)</f>
        <v>T</v>
      </c>
      <c r="J6" s="38" t="str">
        <f t="shared" ca="1" si="10"/>
        <v>W</v>
      </c>
      <c r="K6" s="43" t="str">
        <f t="shared" ca="1" si="10"/>
        <v>T</v>
      </c>
      <c r="L6" s="40" t="str">
        <f t="shared" ca="1" si="10"/>
        <v>F</v>
      </c>
      <c r="M6" s="12" t="str">
        <f t="shared" ca="1" si="10"/>
        <v>S</v>
      </c>
      <c r="N6" s="12" t="str">
        <f t="shared" ca="1" si="10"/>
        <v>S</v>
      </c>
      <c r="O6" s="12" t="str">
        <f t="shared" ca="1" si="10"/>
        <v>M</v>
      </c>
      <c r="P6" s="12" t="str">
        <f t="shared" ca="1" si="10"/>
        <v>T</v>
      </c>
      <c r="Q6" s="12" t="str">
        <f t="shared" ca="1" si="10"/>
        <v>W</v>
      </c>
      <c r="R6" s="12" t="str">
        <f t="shared" ca="1" si="10"/>
        <v>T</v>
      </c>
      <c r="S6" s="12" t="str">
        <f t="shared" ca="1" si="10"/>
        <v>F</v>
      </c>
      <c r="T6" s="12" t="str">
        <f t="shared" ca="1" si="10"/>
        <v>S</v>
      </c>
      <c r="U6" s="12" t="str">
        <f t="shared" ca="1" si="10"/>
        <v>S</v>
      </c>
      <c r="V6" s="12" t="str">
        <f t="shared" ca="1" si="10"/>
        <v>M</v>
      </c>
      <c r="W6" s="12" t="str">
        <f t="shared" ca="1" si="10"/>
        <v>T</v>
      </c>
      <c r="X6" s="12" t="str">
        <f t="shared" ca="1" si="10"/>
        <v>W</v>
      </c>
      <c r="Y6" s="12" t="str">
        <f t="shared" ca="1" si="10"/>
        <v>T</v>
      </c>
      <c r="Z6" s="12" t="str">
        <f t="shared" ca="1" si="10"/>
        <v>F</v>
      </c>
      <c r="AA6" s="12" t="str">
        <f t="shared" ca="1" si="10"/>
        <v>S</v>
      </c>
      <c r="AB6" s="12" t="str">
        <f t="shared" ca="1" si="10"/>
        <v>S</v>
      </c>
      <c r="AC6" s="12" t="str">
        <f t="shared" ca="1" si="10"/>
        <v>M</v>
      </c>
      <c r="AD6" s="12" t="str">
        <f t="shared" ca="1" si="10"/>
        <v>T</v>
      </c>
      <c r="AE6" s="12" t="str">
        <f t="shared" ca="1" si="10"/>
        <v>W</v>
      </c>
      <c r="AF6" s="12" t="str">
        <f t="shared" ca="1" si="10"/>
        <v>T</v>
      </c>
      <c r="AG6" s="12" t="str">
        <f t="shared" ca="1" si="10"/>
        <v>F</v>
      </c>
      <c r="AH6" s="12" t="str">
        <f t="shared" ca="1" si="10"/>
        <v>S</v>
      </c>
      <c r="AI6" s="12" t="str">
        <f t="shared" ca="1" si="10"/>
        <v>S</v>
      </c>
      <c r="AJ6" s="12" t="str">
        <f t="shared" ca="1" si="10"/>
        <v>M</v>
      </c>
      <c r="AK6" s="12" t="str">
        <f t="shared" ca="1" si="10"/>
        <v>T</v>
      </c>
      <c r="AL6" s="12" t="str">
        <f t="shared" ca="1" si="10"/>
        <v>W</v>
      </c>
      <c r="AM6" s="12" t="str">
        <f t="shared" ca="1" si="10"/>
        <v>T</v>
      </c>
      <c r="AN6" s="12" t="str">
        <f t="shared" ca="1" si="10"/>
        <v>F</v>
      </c>
      <c r="AO6" s="12" t="str">
        <f t="shared" ca="1" si="10"/>
        <v>S</v>
      </c>
      <c r="AP6" s="12" t="str">
        <f t="shared" ca="1" si="10"/>
        <v>S</v>
      </c>
      <c r="AQ6" s="12" t="str">
        <f t="shared" ca="1" si="10"/>
        <v>M</v>
      </c>
      <c r="AR6" s="12" t="str">
        <f t="shared" ref="AR6:BK6" ca="1" si="11">LEFT(TEXT(AR5,"ddd"),1)</f>
        <v>T</v>
      </c>
      <c r="AS6" s="12" t="str">
        <f t="shared" ca="1" si="11"/>
        <v>W</v>
      </c>
      <c r="AT6" s="12" t="str">
        <f t="shared" ca="1" si="11"/>
        <v>T</v>
      </c>
      <c r="AU6" s="12" t="str">
        <f t="shared" ca="1" si="11"/>
        <v>F</v>
      </c>
      <c r="AV6" s="12" t="str">
        <f t="shared" ca="1" si="11"/>
        <v>S</v>
      </c>
      <c r="AW6" s="12" t="str">
        <f t="shared" ca="1" si="11"/>
        <v>S</v>
      </c>
      <c r="AX6" s="12" t="str">
        <f t="shared" ca="1" si="11"/>
        <v>M</v>
      </c>
      <c r="AY6" s="12" t="str">
        <f t="shared" ca="1" si="11"/>
        <v>T</v>
      </c>
      <c r="AZ6" s="12" t="str">
        <f t="shared" ca="1" si="11"/>
        <v>W</v>
      </c>
      <c r="BA6" s="12" t="str">
        <f t="shared" ca="1" si="11"/>
        <v>T</v>
      </c>
      <c r="BB6" s="12" t="str">
        <f t="shared" ca="1" si="11"/>
        <v>F</v>
      </c>
      <c r="BC6" s="12" t="str">
        <f t="shared" ca="1" si="11"/>
        <v>S</v>
      </c>
      <c r="BD6" s="12" t="str">
        <f t="shared" ca="1" si="11"/>
        <v>S</v>
      </c>
      <c r="BE6" s="12" t="str">
        <f t="shared" ca="1" si="11"/>
        <v>M</v>
      </c>
      <c r="BF6" s="12" t="str">
        <f t="shared" ca="1" si="11"/>
        <v>T</v>
      </c>
      <c r="BG6" s="12" t="str">
        <f t="shared" ca="1" si="11"/>
        <v>W</v>
      </c>
      <c r="BH6" s="12" t="str">
        <f t="shared" ca="1" si="11"/>
        <v>T</v>
      </c>
      <c r="BI6" s="12" t="str">
        <f t="shared" ca="1" si="11"/>
        <v>F</v>
      </c>
      <c r="BJ6" s="12" t="str">
        <f t="shared" ca="1" si="11"/>
        <v>S</v>
      </c>
      <c r="BK6" s="12" t="str">
        <f t="shared" ca="1" si="11"/>
        <v>S</v>
      </c>
    </row>
    <row r="7" spans="1:63" ht="30" hidden="1" customHeight="1" thickBot="1" x14ac:dyDescent="0.35">
      <c r="A7" s="30" t="s">
        <v>6</v>
      </c>
      <c r="D7"/>
      <c r="G7" t="str">
        <f>IF(OR(ISBLANK(task_start),ISBLANK(task_end)),"",task_end-task_start+1)</f>
        <v/>
      </c>
      <c r="H7" s="27"/>
      <c r="I7" s="27"/>
      <c r="J7" s="39"/>
      <c r="K7" s="44"/>
      <c r="L7" s="41"/>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row>
    <row r="8" spans="1:63" s="2" customFormat="1" ht="30" customHeight="1" thickBot="1" x14ac:dyDescent="0.35">
      <c r="A8" s="31" t="s">
        <v>12</v>
      </c>
      <c r="B8" s="15" t="s">
        <v>22</v>
      </c>
      <c r="C8" s="16"/>
      <c r="D8" s="17"/>
      <c r="E8" s="18"/>
      <c r="F8" s="14"/>
      <c r="G8" s="14" t="str">
        <f t="shared" ref="G8:G29" si="12">IF(OR(ISBLANK(task_start),ISBLANK(task_end)),"",task_end-task_start+1)</f>
        <v/>
      </c>
      <c r="H8" s="27"/>
      <c r="I8" s="27"/>
      <c r="J8" s="39"/>
      <c r="K8" s="44"/>
      <c r="L8" s="41"/>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row>
    <row r="9" spans="1:63" s="2" customFormat="1" ht="30" customHeight="1" thickBot="1" x14ac:dyDescent="0.35">
      <c r="A9" s="31" t="s">
        <v>13</v>
      </c>
      <c r="B9" s="45" t="s">
        <v>27</v>
      </c>
      <c r="C9" s="19"/>
      <c r="D9" s="35">
        <v>45974</v>
      </c>
      <c r="E9" s="35">
        <v>45974</v>
      </c>
      <c r="F9" s="14"/>
      <c r="G9" s="14">
        <f t="shared" si="12"/>
        <v>1</v>
      </c>
      <c r="H9" s="27"/>
      <c r="I9" s="27"/>
      <c r="J9" s="39"/>
      <c r="K9" s="44"/>
      <c r="L9" s="41"/>
      <c r="M9" s="27"/>
      <c r="N9" s="27"/>
      <c r="O9" s="27"/>
      <c r="P9" s="27"/>
      <c r="Q9" s="27"/>
      <c r="R9" s="27"/>
      <c r="S9" s="27"/>
      <c r="T9" s="28"/>
      <c r="U9" s="28"/>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row>
    <row r="10" spans="1:63" s="2" customFormat="1" ht="30" customHeight="1" thickBot="1" x14ac:dyDescent="0.35">
      <c r="A10" s="30"/>
      <c r="B10" s="45" t="s">
        <v>26</v>
      </c>
      <c r="C10" s="19"/>
      <c r="D10" s="35">
        <v>45975</v>
      </c>
      <c r="E10" s="35">
        <v>45976</v>
      </c>
      <c r="F10" s="14"/>
      <c r="G10" s="14">
        <f t="shared" si="12"/>
        <v>2</v>
      </c>
      <c r="H10" s="27"/>
      <c r="I10" s="27"/>
      <c r="J10" s="39"/>
      <c r="K10" s="44"/>
      <c r="L10" s="41"/>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row>
    <row r="11" spans="1:63" s="2" customFormat="1" ht="30" customHeight="1" thickBot="1" x14ac:dyDescent="0.3">
      <c r="A11" s="30"/>
      <c r="B11" s="45" t="s">
        <v>31</v>
      </c>
      <c r="C11" s="19"/>
      <c r="D11" s="35">
        <v>45980</v>
      </c>
      <c r="E11" s="35">
        <v>45982</v>
      </c>
      <c r="F11" s="14"/>
      <c r="G11" s="14">
        <f t="shared" si="12"/>
        <v>3</v>
      </c>
      <c r="H11" s="27"/>
      <c r="I11" s="27"/>
      <c r="J11" s="39"/>
      <c r="K11" s="44"/>
      <c r="L11" s="41"/>
      <c r="M11" s="27"/>
      <c r="N11" s="27"/>
      <c r="O11" s="27"/>
      <c r="P11" s="27"/>
      <c r="Q11" s="27"/>
      <c r="R11" s="27"/>
      <c r="S11" s="27"/>
      <c r="T11" s="27"/>
      <c r="U11" s="27"/>
      <c r="V11" s="27"/>
      <c r="W11" s="27"/>
      <c r="X11" s="28"/>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row>
    <row r="12" spans="1:63" s="2" customFormat="1" ht="30" customHeight="1" thickBot="1" x14ac:dyDescent="0.3">
      <c r="A12" s="30"/>
      <c r="B12" s="45" t="s">
        <v>32</v>
      </c>
      <c r="C12" s="19"/>
      <c r="D12" s="35">
        <v>45983</v>
      </c>
      <c r="E12" s="35">
        <v>45985</v>
      </c>
      <c r="F12" s="14"/>
      <c r="G12" s="14"/>
      <c r="H12" s="27"/>
      <c r="I12" s="27"/>
      <c r="J12" s="39"/>
      <c r="K12" s="44"/>
      <c r="L12" s="41"/>
      <c r="M12" s="27"/>
      <c r="N12" s="27"/>
      <c r="O12" s="27"/>
      <c r="P12" s="27"/>
      <c r="Q12" s="27"/>
      <c r="R12" s="27"/>
      <c r="S12" s="27"/>
      <c r="T12" s="27"/>
      <c r="U12" s="27"/>
      <c r="V12" s="27"/>
      <c r="W12" s="27"/>
      <c r="X12" s="28"/>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row>
    <row r="13" spans="1:63" s="2" customFormat="1" ht="30" customHeight="1" thickBot="1" x14ac:dyDescent="0.3">
      <c r="A13" s="30"/>
      <c r="B13" s="45" t="s">
        <v>33</v>
      </c>
      <c r="C13" s="19"/>
      <c r="D13" s="35">
        <v>45986</v>
      </c>
      <c r="E13" s="35">
        <v>45988</v>
      </c>
      <c r="F13" s="14"/>
      <c r="G13" s="14"/>
      <c r="H13" s="27"/>
      <c r="I13" s="27"/>
      <c r="J13" s="39"/>
      <c r="K13" s="44"/>
      <c r="L13" s="41"/>
      <c r="M13" s="27"/>
      <c r="N13" s="27"/>
      <c r="O13" s="27"/>
      <c r="P13" s="27"/>
      <c r="Q13" s="27"/>
      <c r="R13" s="27"/>
      <c r="S13" s="27"/>
      <c r="T13" s="27"/>
      <c r="U13" s="27"/>
      <c r="V13" s="27"/>
      <c r="W13" s="27"/>
      <c r="X13" s="28"/>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row>
    <row r="14" spans="1:63" s="2" customFormat="1" ht="30" customHeight="1" thickBot="1" x14ac:dyDescent="0.3">
      <c r="A14" s="31" t="s">
        <v>14</v>
      </c>
      <c r="B14" s="20" t="s">
        <v>23</v>
      </c>
      <c r="C14" s="21"/>
      <c r="D14" s="22"/>
      <c r="E14" s="23"/>
      <c r="F14" s="14"/>
      <c r="G14" s="14" t="str">
        <f t="shared" si="12"/>
        <v/>
      </c>
      <c r="H14" s="27"/>
      <c r="I14" s="27"/>
      <c r="J14" s="39"/>
      <c r="K14" s="44"/>
      <c r="L14" s="41"/>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row>
    <row r="15" spans="1:63" s="2" customFormat="1" ht="30" customHeight="1" thickBot="1" x14ac:dyDescent="0.3">
      <c r="A15" s="31"/>
      <c r="B15" s="46" t="s">
        <v>28</v>
      </c>
      <c r="C15" s="24"/>
      <c r="D15" s="36">
        <v>45989</v>
      </c>
      <c r="E15" s="36">
        <v>45991</v>
      </c>
      <c r="F15" s="14"/>
      <c r="G15" s="14"/>
      <c r="H15" s="27"/>
      <c r="I15" s="27"/>
      <c r="J15" s="39"/>
      <c r="K15" s="44"/>
      <c r="L15" s="41"/>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row>
    <row r="16" spans="1:63" s="2" customFormat="1" ht="30" customHeight="1" thickBot="1" x14ac:dyDescent="0.3">
      <c r="A16" s="31"/>
      <c r="B16" s="46" t="s">
        <v>34</v>
      </c>
      <c r="C16" s="24"/>
      <c r="D16" s="36">
        <v>45992</v>
      </c>
      <c r="E16" s="36">
        <v>45994</v>
      </c>
      <c r="F16" s="14"/>
      <c r="G16" s="14"/>
      <c r="H16" s="27"/>
      <c r="I16" s="27"/>
      <c r="J16" s="39"/>
      <c r="K16" s="44"/>
      <c r="L16" s="41"/>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row>
    <row r="17" spans="1:63" s="2" customFormat="1" ht="30" customHeight="1" thickBot="1" x14ac:dyDescent="0.3">
      <c r="A17" s="31"/>
      <c r="B17" s="46" t="s">
        <v>29</v>
      </c>
      <c r="C17" s="24"/>
      <c r="D17" s="36">
        <v>45995</v>
      </c>
      <c r="E17" s="36">
        <v>45997</v>
      </c>
      <c r="F17" s="14"/>
      <c r="G17" s="14"/>
      <c r="H17" s="27"/>
      <c r="I17" s="27"/>
      <c r="J17" s="39"/>
      <c r="K17" s="44"/>
      <c r="L17" s="41"/>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row>
    <row r="18" spans="1:63" s="2" customFormat="1" ht="30" customHeight="1" thickBot="1" x14ac:dyDescent="0.3">
      <c r="A18" s="31"/>
      <c r="B18" s="46" t="s">
        <v>35</v>
      </c>
      <c r="C18" s="24"/>
      <c r="D18" s="36">
        <v>45998</v>
      </c>
      <c r="E18" s="36">
        <v>46000</v>
      </c>
      <c r="F18" s="14"/>
      <c r="G18" s="14"/>
      <c r="H18" s="27"/>
      <c r="I18" s="27"/>
      <c r="J18" s="39"/>
      <c r="K18" s="44"/>
      <c r="L18" s="41"/>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row>
    <row r="19" spans="1:63" s="2" customFormat="1" ht="30" customHeight="1" thickBot="1" x14ac:dyDescent="0.3">
      <c r="A19" s="30"/>
      <c r="B19" s="46" t="s">
        <v>30</v>
      </c>
      <c r="C19" s="24"/>
      <c r="D19" s="36">
        <v>46001</v>
      </c>
      <c r="E19" s="36">
        <v>46001</v>
      </c>
      <c r="F19" s="14"/>
      <c r="G19" s="14">
        <f t="shared" si="12"/>
        <v>1</v>
      </c>
      <c r="H19" s="27"/>
      <c r="I19" s="27"/>
      <c r="J19" s="39"/>
      <c r="K19" s="44"/>
      <c r="L19" s="41"/>
      <c r="M19" s="27"/>
      <c r="N19" s="27"/>
      <c r="O19" s="27"/>
      <c r="P19" s="27"/>
      <c r="Q19" s="27"/>
      <c r="R19" s="27"/>
      <c r="S19" s="27"/>
      <c r="T19" s="28"/>
      <c r="U19" s="28"/>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row>
    <row r="20" spans="1:63" s="2" customFormat="1" ht="30" customHeight="1" thickBot="1" x14ac:dyDescent="0.35">
      <c r="A20" s="30"/>
      <c r="B20" s="68" t="s">
        <v>24</v>
      </c>
      <c r="C20" s="48"/>
      <c r="D20" s="49"/>
      <c r="E20" s="49"/>
      <c r="F20" s="14"/>
      <c r="G20" s="14"/>
      <c r="H20" s="27"/>
      <c r="I20" s="27"/>
      <c r="J20" s="39"/>
      <c r="K20" s="44"/>
      <c r="L20" s="41"/>
      <c r="M20" s="27"/>
      <c r="N20" s="27"/>
      <c r="O20" s="27"/>
      <c r="P20" s="27"/>
      <c r="Q20" s="27"/>
      <c r="R20" s="27"/>
      <c r="S20" s="27"/>
      <c r="T20" s="28"/>
      <c r="U20" s="28"/>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row>
    <row r="21" spans="1:63" s="2" customFormat="1" ht="30" customHeight="1" thickBot="1" x14ac:dyDescent="0.35">
      <c r="A21" s="30"/>
      <c r="B21" s="55" t="s">
        <v>36</v>
      </c>
      <c r="C21" s="25"/>
      <c r="D21" s="56">
        <v>46002</v>
      </c>
      <c r="E21" s="56">
        <v>46006</v>
      </c>
      <c r="F21" s="14"/>
      <c r="G21" s="14">
        <f t="shared" si="12"/>
        <v>5</v>
      </c>
      <c r="H21" s="27"/>
      <c r="I21" s="27"/>
      <c r="J21" s="39"/>
      <c r="K21" s="44"/>
      <c r="L21" s="41"/>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row>
    <row r="22" spans="1:63" s="2" customFormat="1" ht="30" customHeight="1" thickBot="1" x14ac:dyDescent="0.3">
      <c r="A22" s="30"/>
      <c r="B22" s="55" t="s">
        <v>37</v>
      </c>
      <c r="C22" s="25"/>
      <c r="D22" s="56">
        <v>46006</v>
      </c>
      <c r="E22" s="56">
        <v>46009</v>
      </c>
      <c r="F22" s="14"/>
      <c r="G22" s="14">
        <f t="shared" si="12"/>
        <v>4</v>
      </c>
      <c r="H22" s="27"/>
      <c r="I22" s="27"/>
      <c r="J22" s="39"/>
      <c r="K22" s="44"/>
      <c r="L22" s="41"/>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row>
    <row r="23" spans="1:63" s="2" customFormat="1" ht="30" customHeight="1" thickBot="1" x14ac:dyDescent="0.3">
      <c r="A23" s="30"/>
      <c r="B23" s="55" t="s">
        <v>38</v>
      </c>
      <c r="C23" s="25"/>
      <c r="D23" s="56">
        <v>46010</v>
      </c>
      <c r="E23" s="56">
        <v>46012</v>
      </c>
      <c r="F23" s="14"/>
      <c r="G23" s="14"/>
      <c r="H23" s="27"/>
      <c r="I23" s="27"/>
      <c r="J23" s="39"/>
      <c r="K23" s="44"/>
      <c r="L23" s="41"/>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row>
    <row r="24" spans="1:63" s="2" customFormat="1" ht="30" customHeight="1" thickBot="1" x14ac:dyDescent="0.3">
      <c r="A24" s="30"/>
      <c r="B24" s="55" t="s">
        <v>39</v>
      </c>
      <c r="C24" s="25"/>
      <c r="D24" s="56">
        <v>46013</v>
      </c>
      <c r="E24" s="56">
        <v>46013</v>
      </c>
      <c r="F24" s="14"/>
      <c r="G24" s="14">
        <f t="shared" si="12"/>
        <v>1</v>
      </c>
      <c r="H24" s="27"/>
      <c r="I24" s="27"/>
      <c r="J24" s="39"/>
      <c r="K24" s="44"/>
      <c r="L24" s="41"/>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row>
    <row r="25" spans="1:63" s="2" customFormat="1" ht="30" customHeight="1" thickBot="1" x14ac:dyDescent="0.35">
      <c r="A25" s="30"/>
      <c r="B25" s="69" t="s">
        <v>25</v>
      </c>
      <c r="C25" s="50"/>
      <c r="D25" s="51"/>
      <c r="E25" s="51"/>
      <c r="F25" s="14"/>
      <c r="G25" s="14"/>
      <c r="H25" s="27"/>
      <c r="I25" s="27"/>
      <c r="J25" s="39"/>
      <c r="K25" s="44"/>
      <c r="L25" s="41"/>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row>
    <row r="26" spans="1:63" s="2" customFormat="1" ht="30" customHeight="1" thickBot="1" x14ac:dyDescent="0.35">
      <c r="A26" s="30"/>
      <c r="B26" s="57" t="s">
        <v>40</v>
      </c>
      <c r="C26" s="53"/>
      <c r="D26" s="54">
        <v>46015</v>
      </c>
      <c r="E26" s="54">
        <v>46017</v>
      </c>
      <c r="F26" s="14"/>
      <c r="G26" s="14"/>
      <c r="H26" s="27"/>
      <c r="I26" s="27"/>
      <c r="J26" s="39"/>
      <c r="K26" s="44"/>
      <c r="L26" s="41"/>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row>
    <row r="27" spans="1:63" s="2" customFormat="1" ht="30" customHeight="1" thickBot="1" x14ac:dyDescent="0.3">
      <c r="A27" s="30"/>
      <c r="B27" s="57" t="s">
        <v>41</v>
      </c>
      <c r="C27" s="53"/>
      <c r="D27" s="54">
        <v>46017</v>
      </c>
      <c r="E27" s="54">
        <v>46018</v>
      </c>
      <c r="F27" s="14"/>
      <c r="G27" s="14"/>
      <c r="H27" s="27"/>
      <c r="I27" s="27"/>
      <c r="J27" s="39"/>
      <c r="K27" s="44"/>
      <c r="L27" s="41"/>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row>
    <row r="28" spans="1:63" s="2" customFormat="1" ht="30" customHeight="1" thickBot="1" x14ac:dyDescent="0.3">
      <c r="A28" s="30"/>
      <c r="B28" s="57" t="s">
        <v>42</v>
      </c>
      <c r="C28" s="53"/>
      <c r="D28" s="54">
        <v>46019</v>
      </c>
      <c r="E28" s="54">
        <v>46019</v>
      </c>
      <c r="F28" s="14"/>
      <c r="G28" s="14"/>
      <c r="H28" s="27"/>
      <c r="I28" s="27"/>
      <c r="J28" s="39"/>
      <c r="K28" s="44"/>
      <c r="L28" s="41"/>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row>
    <row r="29" spans="1:63" s="2" customFormat="1" ht="30" customHeight="1" thickBot="1" x14ac:dyDescent="0.3">
      <c r="A29" s="30"/>
      <c r="B29" s="52" t="s">
        <v>43</v>
      </c>
      <c r="C29" s="26"/>
      <c r="D29" s="47">
        <v>46020</v>
      </c>
      <c r="E29" s="47">
        <v>46020</v>
      </c>
      <c r="F29" s="14"/>
      <c r="G29" s="14">
        <f t="shared" si="12"/>
        <v>1</v>
      </c>
      <c r="H29" s="27"/>
      <c r="I29" s="27"/>
      <c r="J29" s="39"/>
      <c r="K29" s="44"/>
      <c r="L29" s="41"/>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row>
    <row r="30" spans="1:63" ht="30" customHeight="1" x14ac:dyDescent="0.25">
      <c r="B30" s="67" t="s">
        <v>21</v>
      </c>
      <c r="F30" s="5"/>
    </row>
    <row r="31" spans="1:63" ht="30" customHeight="1" x14ac:dyDescent="0.25">
      <c r="E31" s="32"/>
    </row>
  </sheetData>
  <mergeCells count="11">
    <mergeCell ref="BE4:BK4"/>
    <mergeCell ref="D3:E3"/>
    <mergeCell ref="H4:N4"/>
    <mergeCell ref="O4:U4"/>
    <mergeCell ref="V4:AB4"/>
    <mergeCell ref="AC4:AI4"/>
    <mergeCell ref="B2:D2"/>
    <mergeCell ref="B5:F5"/>
    <mergeCell ref="AJ4:AP4"/>
    <mergeCell ref="AQ4:AW4"/>
    <mergeCell ref="AX4:BD4"/>
  </mergeCells>
  <conditionalFormatting sqref="C7:C29">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H5:BK29">
    <cfRule type="expression" dxfId="2" priority="33">
      <formula>AND(TODAY()&gt;=H$5,TODAY()&lt;I$5)</formula>
    </cfRule>
  </conditionalFormatting>
  <conditionalFormatting sqref="H7:BK29">
    <cfRule type="expression" dxfId="1" priority="27">
      <formula>AND(task_start&lt;=H$5,ROUNDDOWN((task_end-task_start+1)*task_progress,0)+task_start-1&gt;=H$5)</formula>
    </cfRule>
    <cfRule type="expression" dxfId="0" priority="28" stopIfTrue="1">
      <formula>AND(task_end&gt;=H$5,task_start&lt;I$5)</formula>
    </cfRule>
  </conditionalFormatting>
  <dataValidations count="1">
    <dataValidation type="whole" operator="greaterThanOrEqual" allowBlank="1" showInputMessage="1" promptTitle="Display Week" prompt="Changing this number will scroll the Gantt Chart view." sqref="D4"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C7:C29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22"/>
  <sheetViews>
    <sheetView showGridLines="0" topLeftCell="A6" zoomScale="85" zoomScaleNormal="85" workbookViewId="0">
      <selection activeCell="E11" sqref="E11"/>
    </sheetView>
  </sheetViews>
  <sheetFormatPr defaultRowHeight="15" x14ac:dyDescent="0.25"/>
  <cols>
    <col min="2" max="2" width="18.42578125" customWidth="1"/>
    <col min="3" max="3" width="21.28515625" customWidth="1"/>
    <col min="4" max="4" width="60.42578125" customWidth="1"/>
  </cols>
  <sheetData>
    <row r="2" spans="2:4" ht="37.15" customHeight="1" x14ac:dyDescent="0.3">
      <c r="B2" s="79" t="s">
        <v>20</v>
      </c>
      <c r="C2" s="79"/>
    </row>
    <row r="4" spans="2:4" ht="14.45" x14ac:dyDescent="0.3">
      <c r="B4" s="7" t="s">
        <v>16</v>
      </c>
      <c r="C4" s="8" t="s">
        <v>15</v>
      </c>
      <c r="D4" s="8" t="s">
        <v>17</v>
      </c>
    </row>
    <row r="5" spans="2:4" ht="8.25" customHeight="1" x14ac:dyDescent="0.3"/>
    <row r="6" spans="2:4" ht="45" x14ac:dyDescent="0.25">
      <c r="B6" s="58" t="s">
        <v>44</v>
      </c>
      <c r="C6" s="59" t="s">
        <v>49</v>
      </c>
      <c r="D6" s="59" t="s">
        <v>58</v>
      </c>
    </row>
    <row r="7" spans="2:4" ht="45" x14ac:dyDescent="0.25">
      <c r="B7" s="58" t="s">
        <v>45</v>
      </c>
      <c r="C7" s="59" t="s">
        <v>50</v>
      </c>
      <c r="D7" s="59" t="s">
        <v>73</v>
      </c>
    </row>
    <row r="8" spans="2:4" ht="45" x14ac:dyDescent="0.25">
      <c r="B8" s="58" t="s">
        <v>46</v>
      </c>
      <c r="C8" s="59" t="s">
        <v>51</v>
      </c>
      <c r="D8" s="59" t="s">
        <v>59</v>
      </c>
    </row>
    <row r="9" spans="2:4" ht="45" x14ac:dyDescent="0.25">
      <c r="B9" s="58" t="s">
        <v>47</v>
      </c>
      <c r="C9" s="59" t="s">
        <v>50</v>
      </c>
      <c r="D9" s="59" t="s">
        <v>74</v>
      </c>
    </row>
    <row r="10" spans="2:4" ht="60" x14ac:dyDescent="0.25">
      <c r="B10" s="60" t="s">
        <v>33</v>
      </c>
      <c r="C10" s="61" t="s">
        <v>52</v>
      </c>
      <c r="D10" s="61" t="s">
        <v>60</v>
      </c>
    </row>
    <row r="11" spans="2:4" ht="45" x14ac:dyDescent="0.25">
      <c r="B11" s="60" t="s">
        <v>48</v>
      </c>
      <c r="C11" s="61" t="s">
        <v>49</v>
      </c>
      <c r="D11" s="61" t="s">
        <v>61</v>
      </c>
    </row>
    <row r="12" spans="2:4" ht="60" x14ac:dyDescent="0.25">
      <c r="B12" s="60" t="s">
        <v>34</v>
      </c>
      <c r="C12" s="61" t="s">
        <v>53</v>
      </c>
      <c r="D12" s="61" t="s">
        <v>62</v>
      </c>
    </row>
    <row r="13" spans="2:4" ht="45" x14ac:dyDescent="0.25">
      <c r="B13" s="60" t="s">
        <v>29</v>
      </c>
      <c r="C13" s="61" t="s">
        <v>50</v>
      </c>
      <c r="D13" s="61" t="s">
        <v>63</v>
      </c>
    </row>
    <row r="14" spans="2:4" ht="45" x14ac:dyDescent="0.25">
      <c r="B14" s="62" t="s">
        <v>35</v>
      </c>
      <c r="C14" s="63" t="s">
        <v>49</v>
      </c>
      <c r="D14" s="63" t="s">
        <v>64</v>
      </c>
    </row>
    <row r="15" spans="2:4" ht="60" x14ac:dyDescent="0.25">
      <c r="B15" s="62" t="s">
        <v>36</v>
      </c>
      <c r="C15" s="63" t="s">
        <v>50</v>
      </c>
      <c r="D15" s="63" t="s">
        <v>65</v>
      </c>
    </row>
    <row r="16" spans="2:4" ht="60" x14ac:dyDescent="0.25">
      <c r="B16" s="62" t="s">
        <v>37</v>
      </c>
      <c r="C16" s="63" t="s">
        <v>54</v>
      </c>
      <c r="D16" s="63" t="s">
        <v>66</v>
      </c>
    </row>
    <row r="17" spans="2:4" ht="60" x14ac:dyDescent="0.25">
      <c r="B17" s="62" t="s">
        <v>38</v>
      </c>
      <c r="C17" s="63" t="s">
        <v>55</v>
      </c>
      <c r="D17" s="63" t="s">
        <v>67</v>
      </c>
    </row>
    <row r="18" spans="2:4" ht="60" x14ac:dyDescent="0.25">
      <c r="B18" s="64" t="s">
        <v>39</v>
      </c>
      <c r="C18" s="65" t="s">
        <v>56</v>
      </c>
      <c r="D18" s="65" t="s">
        <v>68</v>
      </c>
    </row>
    <row r="19" spans="2:4" ht="75" x14ac:dyDescent="0.25">
      <c r="B19" s="64" t="s">
        <v>40</v>
      </c>
      <c r="C19" s="65" t="s">
        <v>51</v>
      </c>
      <c r="D19" s="65" t="s">
        <v>69</v>
      </c>
    </row>
    <row r="20" spans="2:4" ht="60" x14ac:dyDescent="0.25">
      <c r="B20" s="64" t="s">
        <v>41</v>
      </c>
      <c r="C20" s="65" t="s">
        <v>57</v>
      </c>
      <c r="D20" s="65" t="s">
        <v>70</v>
      </c>
    </row>
    <row r="21" spans="2:4" ht="45" x14ac:dyDescent="0.25">
      <c r="B21" s="64" t="s">
        <v>42</v>
      </c>
      <c r="C21" s="65" t="s">
        <v>49</v>
      </c>
      <c r="D21" s="65" t="s">
        <v>71</v>
      </c>
    </row>
    <row r="22" spans="2:4" ht="45" x14ac:dyDescent="0.25">
      <c r="B22" s="70" t="s">
        <v>43</v>
      </c>
      <c r="C22" s="71" t="s">
        <v>49</v>
      </c>
      <c r="D22" s="71" t="s">
        <v>72</v>
      </c>
    </row>
  </sheetData>
  <mergeCells count="1">
    <mergeCell ref="B2:C2"/>
  </mergeCells>
  <conditionalFormatting sqref="C5:D22">
    <cfRule type="dataBar" priority="2">
      <dataBar>
        <cfvo type="num" val="0"/>
        <cfvo type="num" val="1"/>
        <color theme="0" tint="-0.249977111117893"/>
      </dataBar>
      <extLst>
        <ext xmlns:x14="http://schemas.microsoft.com/office/spreadsheetml/2009/9/main" uri="{B025F937-C7B1-47D3-B67F-A62EFF666E3E}">
          <x14:id>{77507B22-5C74-4483-B8ED-801801F9F4FC}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7507B22-5C74-4483-B8ED-801801F9F4FC}">
            <x14:dataBar minLength="0" maxLength="100" gradient="0">
              <x14:cfvo type="num">
                <xm:f>0</xm:f>
              </x14:cfvo>
              <x14:cfvo type="num">
                <xm:f>1</xm:f>
              </x14:cfvo>
              <x14:negativeFillColor rgb="FFFF0000"/>
              <x14:axisColor rgb="FF000000"/>
            </x14:dataBar>
          </x14:cfRule>
          <xm:sqref>C5:D22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C679AA94041F4BA4494D199A3447AF" ma:contentTypeVersion="13" ma:contentTypeDescription="Create a new document." ma:contentTypeScope="" ma:versionID="97abb28671660b3923b59ef28914b0fa">
  <xsd:schema xmlns:xsd="http://www.w3.org/2001/XMLSchema" xmlns:xs="http://www.w3.org/2001/XMLSchema" xmlns:p="http://schemas.microsoft.com/office/2006/metadata/properties" xmlns:ns2="ff8a4b2e-b0c8-4039-a689-d1a7f36f4382" xmlns:ns3="f716dd8a-49a0-4c40-b209-038e1651b548" targetNamespace="http://schemas.microsoft.com/office/2006/metadata/properties" ma:root="true" ma:fieldsID="4e295b7a5f2f4e3b5edda2fb01eec268" ns2:_="" ns3:_="">
    <xsd:import namespace="ff8a4b2e-b0c8-4039-a689-d1a7f36f4382"/>
    <xsd:import namespace="f716dd8a-49a0-4c40-b209-038e1651b54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8a4b2e-b0c8-4039-a689-d1a7f36f43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Notes" ma:index="19"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716dd8a-49a0-4c40-b209-038e1651b54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tes xmlns="ff8a4b2e-b0c8-4039-a689-d1a7f36f4382" xsi:nil="true"/>
  </documentManagement>
</p:properties>
</file>

<file path=customXml/itemProps1.xml><?xml version="1.0" encoding="utf-8"?>
<ds:datastoreItem xmlns:ds="http://schemas.openxmlformats.org/officeDocument/2006/customXml" ds:itemID="{3A98C47B-2BB1-4086-9732-766F28EF03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8a4b2e-b0c8-4039-a689-d1a7f36f4382"/>
    <ds:schemaRef ds:uri="f716dd8a-49a0-4c40-b209-038e1651b5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82E4BCD-068C-41E7-AC7A-26AB2E4DD124}">
  <ds:schemaRefs>
    <ds:schemaRef ds:uri="http://schemas.microsoft.com/sharepoint/v3/contenttype/forms"/>
  </ds:schemaRefs>
</ds:datastoreItem>
</file>

<file path=customXml/itemProps3.xml><?xml version="1.0" encoding="utf-8"?>
<ds:datastoreItem xmlns:ds="http://schemas.openxmlformats.org/officeDocument/2006/customXml" ds:itemID="{610BC0B4-00BE-4BA5-B1E8-B7C12FF794A2}">
  <ds:schemaRefs>
    <ds:schemaRef ds:uri="http://schemas.microsoft.com/office/2006/metadata/properties"/>
    <ds:schemaRef ds:uri="http://purl.org/dc/terms/"/>
    <ds:schemaRef ds:uri="http://www.w3.org/XML/1998/namespace"/>
    <ds:schemaRef ds:uri="http://purl.org/dc/dcmitype/"/>
    <ds:schemaRef ds:uri="http://schemas.microsoft.com/office/2006/documentManagement/types"/>
    <ds:schemaRef ds:uri="ff8a4b2e-b0c8-4039-a689-d1a7f36f4382"/>
    <ds:schemaRef ds:uri="http://schemas.openxmlformats.org/package/2006/metadata/core-properties"/>
    <ds:schemaRef ds:uri="http://purl.org/dc/elements/1.1/"/>
    <ds:schemaRef ds:uri="http://schemas.microsoft.com/office/infopath/2007/PartnerControls"/>
    <ds:schemaRef ds:uri="f716dd8a-49a0-4c40-b209-038e1651b5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Resource Allocation</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CYB 420 Project Two Gantt Chart Template</dc:title>
  <dc:creator/>
  <dc:description/>
  <cp:lastModifiedBy/>
  <dcterms:created xsi:type="dcterms:W3CDTF">2019-03-19T17:17:03Z</dcterms:created>
  <dcterms:modified xsi:type="dcterms:W3CDTF">2025-11-13T23:36:08Z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v-abdarl@microsoft.com</vt:lpwstr>
  </property>
  <property fmtid="{D5CDD505-2E9C-101B-9397-08002B2CF9AE}" pid="5" name="MSIP_Label_f42aa342-8706-4288-bd11-ebb85995028c_SetDate">
    <vt:lpwstr>2019-03-19T17:17:07.6273720Z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ActionId">
    <vt:lpwstr>ae87efaf-4711-40ea-b5db-c90354dd2317</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y fmtid="{D5CDD505-2E9C-101B-9397-08002B2CF9AE}" pid="11" name="ContentTypeId">
    <vt:lpwstr>0x0101003FC679AA94041F4BA4494D199A3447AF</vt:lpwstr>
  </property>
  <property fmtid="{D5CDD505-2E9C-101B-9397-08002B2CF9AE}" pid="12" name="Order">
    <vt:r8>5549200</vt:r8>
  </property>
  <property fmtid="{D5CDD505-2E9C-101B-9397-08002B2CF9AE}" pid="13" name="xd_Signature">
    <vt:bool>false</vt:bool>
  </property>
  <property fmtid="{D5CDD505-2E9C-101B-9397-08002B2CF9AE}" pid="14" name="xd_ProgID">
    <vt:lpwstr/>
  </property>
  <property fmtid="{D5CDD505-2E9C-101B-9397-08002B2CF9AE}" pid="15" name="_SourceUrl">
    <vt:lpwstr/>
  </property>
  <property fmtid="{D5CDD505-2E9C-101B-9397-08002B2CF9AE}" pid="16" name="_SharedFileIndex">
    <vt:lpwstr/>
  </property>
  <property fmtid="{D5CDD505-2E9C-101B-9397-08002B2CF9AE}" pid="17" name="ComplianceAssetId">
    <vt:lpwstr/>
  </property>
  <property fmtid="{D5CDD505-2E9C-101B-9397-08002B2CF9AE}" pid="18" name="TemplateUrl">
    <vt:lpwstr/>
  </property>
</Properties>
</file>